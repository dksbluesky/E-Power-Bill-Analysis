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k098\Documents\Bills\E-Power\"/>
    </mc:Choice>
  </mc:AlternateContent>
  <xr:revisionPtr revIDLastSave="0" documentId="13_ncr:1_{3BBEF28C-312B-4227-952B-E55CC56097D0}" xr6:coauthVersionLast="47" xr6:coauthVersionMax="47" xr10:uidLastSave="{00000000-0000-0000-0000-000000000000}"/>
  <bookViews>
    <workbookView xWindow="-120" yWindow="-120" windowWidth="38640" windowHeight="16440" tabRatio="500" xr2:uid="{00000000-000D-0000-FFFF-FFFF00000000}"/>
  </bookViews>
  <sheets>
    <sheet name="Dashboard" sheetId="1" r:id="rId1"/>
    <sheet name="Input" sheetId="2" r:id="rId2"/>
    <sheet name="Raw Data" sheetId="3" r:id="rId3"/>
    <sheet name="Data" sheetId="4" state="hidden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3" i="4" l="1"/>
  <c r="D62" i="4"/>
  <c r="D61" i="4"/>
  <c r="E51" i="4"/>
  <c r="D51" i="4"/>
  <c r="C51" i="4"/>
  <c r="B51" i="4"/>
  <c r="A51" i="4"/>
  <c r="E50" i="4"/>
  <c r="D50" i="4"/>
  <c r="C50" i="4"/>
  <c r="B50" i="4"/>
  <c r="A50" i="4"/>
  <c r="E49" i="4"/>
  <c r="D49" i="4"/>
  <c r="C49" i="4"/>
  <c r="B49" i="4"/>
  <c r="A49" i="4"/>
  <c r="E48" i="4"/>
  <c r="D48" i="4"/>
  <c r="C48" i="4"/>
  <c r="B48" i="4"/>
  <c r="A48" i="4"/>
  <c r="E47" i="4"/>
  <c r="D47" i="4"/>
  <c r="C47" i="4"/>
  <c r="B47" i="4"/>
  <c r="A47" i="4"/>
  <c r="E46" i="4"/>
  <c r="D46" i="4"/>
  <c r="C46" i="4"/>
  <c r="B46" i="4"/>
  <c r="A46" i="4"/>
  <c r="E45" i="4"/>
  <c r="D45" i="4"/>
  <c r="C45" i="4"/>
  <c r="B45" i="4"/>
  <c r="A45" i="4"/>
  <c r="E44" i="4"/>
  <c r="D44" i="4"/>
  <c r="C44" i="4"/>
  <c r="B44" i="4"/>
  <c r="A44" i="4"/>
  <c r="E43" i="4"/>
  <c r="D43" i="4"/>
  <c r="C43" i="4"/>
  <c r="B43" i="4"/>
  <c r="A43" i="4"/>
  <c r="E42" i="4"/>
  <c r="D42" i="4"/>
  <c r="C42" i="4"/>
  <c r="B42" i="4"/>
  <c r="A42" i="4"/>
  <c r="E41" i="4"/>
  <c r="D41" i="4"/>
  <c r="C41" i="4"/>
  <c r="B41" i="4"/>
  <c r="A41" i="4"/>
  <c r="E40" i="4"/>
  <c r="D40" i="4"/>
  <c r="C40" i="4"/>
  <c r="B40" i="4"/>
  <c r="A40" i="4"/>
  <c r="E39" i="4"/>
  <c r="D39" i="4"/>
  <c r="C39" i="4"/>
  <c r="B39" i="4"/>
  <c r="A39" i="4"/>
  <c r="E38" i="4"/>
  <c r="D38" i="4"/>
  <c r="C38" i="4"/>
  <c r="B38" i="4"/>
  <c r="A38" i="4"/>
  <c r="E37" i="4"/>
  <c r="D37" i="4"/>
  <c r="C37" i="4"/>
  <c r="B37" i="4"/>
  <c r="A37" i="4"/>
  <c r="E36" i="4"/>
  <c r="D36" i="4"/>
  <c r="C36" i="4"/>
  <c r="B36" i="4"/>
  <c r="A36" i="4"/>
  <c r="E35" i="4"/>
  <c r="D35" i="4"/>
  <c r="C35" i="4"/>
  <c r="B35" i="4"/>
  <c r="A35" i="4"/>
  <c r="E34" i="4"/>
  <c r="D34" i="4"/>
  <c r="C34" i="4"/>
  <c r="B34" i="4"/>
  <c r="A34" i="4"/>
  <c r="E33" i="4"/>
  <c r="D33" i="4"/>
  <c r="C33" i="4"/>
  <c r="B33" i="4"/>
  <c r="A33" i="4"/>
  <c r="E32" i="4"/>
  <c r="D32" i="4"/>
  <c r="C32" i="4"/>
  <c r="B32" i="4"/>
  <c r="A32" i="4"/>
  <c r="E31" i="4"/>
  <c r="D31" i="4"/>
  <c r="C31" i="4"/>
  <c r="B31" i="4"/>
  <c r="A31" i="4"/>
  <c r="E30" i="4"/>
  <c r="D30" i="4"/>
  <c r="C30" i="4"/>
  <c r="B30" i="4"/>
  <c r="A30" i="4"/>
  <c r="E29" i="4"/>
  <c r="D29" i="4"/>
  <c r="C29" i="4"/>
  <c r="B29" i="4"/>
  <c r="A29" i="4"/>
  <c r="E28" i="4"/>
  <c r="D28" i="4"/>
  <c r="C28" i="4"/>
  <c r="B28" i="4"/>
  <c r="A28" i="4"/>
  <c r="E27" i="4"/>
  <c r="D27" i="4"/>
  <c r="C27" i="4"/>
  <c r="B27" i="4"/>
  <c r="A27" i="4"/>
  <c r="E26" i="4"/>
  <c r="D26" i="4"/>
  <c r="C26" i="4"/>
  <c r="B26" i="4"/>
  <c r="A26" i="4"/>
  <c r="E25" i="4"/>
  <c r="D25" i="4"/>
  <c r="C25" i="4"/>
  <c r="B25" i="4"/>
  <c r="A25" i="4"/>
  <c r="E24" i="4"/>
  <c r="D24" i="4"/>
  <c r="C24" i="4"/>
  <c r="B24" i="4"/>
  <c r="A24" i="4"/>
  <c r="E23" i="4"/>
  <c r="D23" i="4"/>
  <c r="C23" i="4"/>
  <c r="B23" i="4"/>
  <c r="A23" i="4"/>
  <c r="E22" i="4"/>
  <c r="D22" i="4"/>
  <c r="C22" i="4"/>
  <c r="B22" i="4"/>
  <c r="A22" i="4"/>
  <c r="E21" i="4"/>
  <c r="D21" i="4"/>
  <c r="C21" i="4"/>
  <c r="B21" i="4"/>
  <c r="A21" i="4"/>
  <c r="E20" i="4"/>
  <c r="D20" i="4"/>
  <c r="C20" i="4"/>
  <c r="B20" i="4"/>
  <c r="A20" i="4"/>
  <c r="E19" i="4"/>
  <c r="D19" i="4"/>
  <c r="C19" i="4"/>
  <c r="B19" i="4"/>
  <c r="A19" i="4"/>
  <c r="E18" i="4"/>
  <c r="D18" i="4"/>
  <c r="A18" i="4"/>
  <c r="E17" i="4"/>
  <c r="D17" i="4"/>
  <c r="A17" i="4"/>
  <c r="E16" i="4"/>
  <c r="D16" i="4"/>
  <c r="A16" i="4"/>
  <c r="E15" i="4"/>
  <c r="D15" i="4"/>
  <c r="A15" i="4"/>
  <c r="E14" i="4"/>
  <c r="D14" i="4"/>
  <c r="A14" i="4"/>
  <c r="E13" i="4"/>
  <c r="D13" i="4"/>
  <c r="A13" i="4"/>
  <c r="E12" i="4"/>
  <c r="D12" i="4"/>
  <c r="A12" i="4"/>
  <c r="E11" i="4"/>
  <c r="D11" i="4"/>
  <c r="A11" i="4"/>
  <c r="E10" i="4"/>
  <c r="D10" i="4"/>
  <c r="A10" i="4"/>
  <c r="E9" i="4"/>
  <c r="D9" i="4"/>
  <c r="A9" i="4"/>
  <c r="E8" i="4"/>
  <c r="D8" i="4"/>
  <c r="A8" i="4"/>
  <c r="E7" i="4"/>
  <c r="D7" i="4"/>
  <c r="A7" i="4"/>
  <c r="E6" i="4"/>
  <c r="D6" i="4"/>
  <c r="A6" i="4"/>
  <c r="E5" i="4"/>
  <c r="D5" i="4"/>
  <c r="A5" i="4"/>
  <c r="E4" i="4"/>
  <c r="D4" i="4"/>
  <c r="A4" i="4"/>
  <c r="E3" i="4"/>
  <c r="D3" i="4"/>
  <c r="A3" i="4"/>
  <c r="E2" i="4"/>
  <c r="D2" i="4"/>
  <c r="C2" i="4"/>
  <c r="B2" i="4"/>
  <c r="A2" i="4"/>
  <c r="K20" i="3"/>
  <c r="J20" i="3"/>
  <c r="F20" i="3"/>
  <c r="E20" i="3"/>
  <c r="K19" i="3"/>
  <c r="J19" i="3"/>
  <c r="F19" i="3"/>
  <c r="E19" i="3"/>
  <c r="K18" i="3"/>
  <c r="J18" i="3"/>
  <c r="F18" i="3"/>
  <c r="E18" i="3"/>
  <c r="K17" i="3"/>
  <c r="J17" i="3"/>
  <c r="F17" i="3"/>
  <c r="E17" i="3"/>
  <c r="K16" i="3"/>
  <c r="J16" i="3"/>
  <c r="F16" i="3"/>
  <c r="E16" i="3"/>
  <c r="K15" i="3"/>
  <c r="J15" i="3"/>
  <c r="F15" i="3"/>
  <c r="E15" i="3"/>
  <c r="K14" i="3"/>
  <c r="J14" i="3"/>
  <c r="F14" i="3"/>
  <c r="E14" i="3"/>
  <c r="K13" i="3"/>
  <c r="J13" i="3"/>
  <c r="F13" i="3"/>
  <c r="E13" i="3"/>
  <c r="K12" i="3"/>
  <c r="J12" i="3"/>
  <c r="F12" i="3"/>
  <c r="E12" i="3"/>
  <c r="K11" i="3"/>
  <c r="J11" i="3"/>
  <c r="F11" i="3"/>
  <c r="E11" i="3"/>
  <c r="K10" i="3"/>
  <c r="J10" i="3"/>
  <c r="F10" i="3"/>
  <c r="E10" i="3"/>
  <c r="K9" i="3"/>
  <c r="J9" i="3"/>
  <c r="F9" i="3"/>
  <c r="E9" i="3"/>
  <c r="K8" i="3"/>
  <c r="J8" i="3"/>
  <c r="F8" i="3"/>
  <c r="E8" i="3"/>
  <c r="K7" i="3"/>
  <c r="J7" i="3"/>
  <c r="E7" i="3"/>
  <c r="F7" i="3" s="1"/>
  <c r="K6" i="3"/>
  <c r="J6" i="3"/>
  <c r="E6" i="3"/>
  <c r="F6" i="3" s="1"/>
  <c r="K5" i="3"/>
  <c r="J5" i="3"/>
  <c r="E5" i="3"/>
  <c r="F5" i="3" s="1"/>
  <c r="K4" i="3"/>
  <c r="J4" i="3"/>
  <c r="E4" i="3"/>
  <c r="F4" i="3" s="1"/>
  <c r="H20" i="3" l="1"/>
  <c r="G20" i="3"/>
  <c r="H19" i="3"/>
  <c r="G19" i="3"/>
  <c r="G18" i="3"/>
  <c r="H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G7" i="3"/>
  <c r="H7" i="3"/>
  <c r="G6" i="3"/>
  <c r="H6" i="3"/>
  <c r="G5" i="3"/>
  <c r="H5" i="3"/>
  <c r="B18" i="4" l="1"/>
  <c r="C18" i="4"/>
  <c r="B17" i="4"/>
  <c r="C17" i="4"/>
  <c r="B16" i="4"/>
  <c r="C16" i="4"/>
  <c r="B15" i="4"/>
  <c r="C15" i="4"/>
  <c r="B14" i="4"/>
  <c r="C14" i="4"/>
  <c r="B13" i="4"/>
  <c r="C13" i="4"/>
  <c r="B12" i="4"/>
  <c r="C12" i="4"/>
  <c r="C11" i="4"/>
  <c r="B11" i="4"/>
  <c r="B10" i="4"/>
  <c r="C10" i="4"/>
  <c r="B63" i="4"/>
  <c r="C63" i="4"/>
  <c r="C9" i="4"/>
  <c r="B9" i="4"/>
  <c r="B8" i="4"/>
  <c r="C8" i="4"/>
  <c r="B7" i="4"/>
  <c r="C7" i="4"/>
  <c r="B6" i="4"/>
  <c r="C6" i="4"/>
  <c r="C5" i="4"/>
  <c r="B5" i="4"/>
  <c r="C62" i="4"/>
  <c r="C4" i="4"/>
  <c r="B4" i="4"/>
  <c r="B62" i="4"/>
  <c r="B61" i="4"/>
  <c r="C61" i="4"/>
  <c r="B3" i="4"/>
  <c r="C3" i="4"/>
  <c r="B56" i="4"/>
  <c r="B55" i="4"/>
</calcChain>
</file>

<file path=xl/sharedStrings.xml><?xml version="1.0" encoding="utf-8"?>
<sst xmlns="http://schemas.openxmlformats.org/spreadsheetml/2006/main" count="196" uniqueCount="140">
  <si>
    <r>
      <rPr>
        <b/>
        <sz val="20"/>
        <color rgb="FFFFFFFF"/>
        <rFont val="Noto Sans CJK SC"/>
        <family val="2"/>
      </rPr>
      <t xml:space="preserve">⚡  電費分析 </t>
    </r>
    <r>
      <rPr>
        <b/>
        <sz val="20"/>
        <color rgb="FFFFFFFF"/>
        <rFont val="Arial"/>
        <family val="2"/>
      </rPr>
      <t>Dashboard</t>
    </r>
  </si>
  <si>
    <t>📋  各期明細</t>
  </si>
  <si>
    <r>
      <rPr>
        <i/>
        <sz val="9"/>
        <color rgb="FF64748B"/>
        <rFont val="Noto Sans CJK SC"/>
        <family val="2"/>
      </rPr>
      <t xml:space="preserve">  帳號 </t>
    </r>
    <r>
      <rPr>
        <i/>
        <sz val="9"/>
        <color rgb="FF64748B"/>
        <rFont val="Arial"/>
        <family val="2"/>
      </rPr>
      <t xml:space="preserve">10-09-4150-35-2 · </t>
    </r>
    <r>
      <rPr>
        <i/>
        <sz val="9"/>
        <color rgb="FF64748B"/>
        <rFont val="Noto Sans CJK SC"/>
        <family val="2"/>
      </rPr>
      <t xml:space="preserve">表燈非營業用 </t>
    </r>
    <r>
      <rPr>
        <i/>
        <sz val="9"/>
        <color rgb="FF64748B"/>
        <rFont val="Arial"/>
        <family val="2"/>
      </rPr>
      <t xml:space="preserve">· </t>
    </r>
    <r>
      <rPr>
        <i/>
        <sz val="9"/>
        <color rgb="FF64748B"/>
        <rFont val="Noto Sans CJK SC"/>
        <family val="2"/>
      </rPr>
      <t>版本</t>
    </r>
    <r>
      <rPr>
        <i/>
        <sz val="9"/>
        <color rgb="FF64748B"/>
        <rFont val="Arial"/>
        <family val="2"/>
      </rPr>
      <t xml:space="preserve">A(113/04–114/09) / </t>
    </r>
    <r>
      <rPr>
        <i/>
        <sz val="9"/>
        <color rgb="FF64748B"/>
        <rFont val="Noto Sans CJK SC"/>
        <family val="2"/>
      </rPr>
      <t>版本</t>
    </r>
    <r>
      <rPr>
        <i/>
        <sz val="9"/>
        <color rgb="FF64748B"/>
        <rFont val="Arial"/>
        <family val="2"/>
      </rPr>
      <t>B(114/10</t>
    </r>
    <r>
      <rPr>
        <i/>
        <sz val="9"/>
        <color rgb="FF64748B"/>
        <rFont val="Noto Sans CJK SC"/>
        <family val="2"/>
      </rPr>
      <t>起</t>
    </r>
    <r>
      <rPr>
        <i/>
        <sz val="9"/>
        <color rgb="FF64748B"/>
        <rFont val="Arial"/>
        <family val="2"/>
      </rPr>
      <t xml:space="preserve">) · </t>
    </r>
    <r>
      <rPr>
        <i/>
        <sz val="9"/>
        <color rgb="FF64748B"/>
        <rFont val="Noto Sans CJK SC"/>
        <family val="2"/>
      </rPr>
      <t xml:space="preserve">新增資料請到 </t>
    </r>
    <r>
      <rPr>
        <i/>
        <sz val="9"/>
        <color rgb="FF64748B"/>
        <rFont val="Arial"/>
        <family val="2"/>
      </rPr>
      <t>Input sheet</t>
    </r>
  </si>
  <si>
    <t>帳單月份</t>
  </si>
  <si>
    <t>季節</t>
  </si>
  <si>
    <t>度數</t>
  </si>
  <si>
    <t>流動費用</t>
  </si>
  <si>
    <t>公共費用</t>
  </si>
  <si>
    <t>總電費</t>
  </si>
  <si>
    <r>
      <rPr>
        <b/>
        <sz val="9"/>
        <color rgb="FFFFFFFF"/>
        <rFont val="Noto Sans CJK SC"/>
        <family val="2"/>
      </rPr>
      <t>流動</t>
    </r>
    <r>
      <rPr>
        <b/>
        <sz val="9"/>
        <color rgb="FFFFFFFF"/>
        <rFont val="Arial"/>
        <family val="2"/>
      </rPr>
      <t>%</t>
    </r>
  </si>
  <si>
    <t>113/09</t>
  </si>
  <si>
    <t>夏季</t>
  </si>
  <si>
    <r>
      <rPr>
        <i/>
        <sz val="9"/>
        <color rgb="FF334155"/>
        <rFont val="Arial"/>
        <family val="2"/>
      </rPr>
      <t xml:space="preserve">312 </t>
    </r>
    <r>
      <rPr>
        <i/>
        <sz val="9"/>
        <color rgb="FF334155"/>
        <rFont val="Noto Sans CJK SC"/>
        <family val="2"/>
      </rPr>
      <t>度</t>
    </r>
  </si>
  <si>
    <t>$672</t>
  </si>
  <si>
    <t>溢繳抵扣</t>
  </si>
  <si>
    <t>$80</t>
  </si>
  <si>
    <t>N/A</t>
  </si>
  <si>
    <t>💰  累計總電費</t>
  </si>
  <si>
    <t>⚡  流動費用</t>
  </si>
  <si>
    <t>🏢  公共費用</t>
  </si>
  <si>
    <t>📏  總用電度數</t>
  </si>
  <si>
    <t>113/11</t>
  </si>
  <si>
    <t>非夏季</t>
  </si>
  <si>
    <r>
      <rPr>
        <sz val="9"/>
        <color rgb="FF334155"/>
        <rFont val="Arial"/>
        <family val="2"/>
      </rPr>
      <t xml:space="preserve">358 </t>
    </r>
    <r>
      <rPr>
        <sz val="9"/>
        <color rgb="FF334155"/>
        <rFont val="Noto Sans CJK SC"/>
        <family val="2"/>
      </rPr>
      <t>度</t>
    </r>
  </si>
  <si>
    <t>$740</t>
  </si>
  <si>
    <t>$1,769</t>
  </si>
  <si>
    <t>$2,509</t>
  </si>
  <si>
    <t>29.5%</t>
  </si>
  <si>
    <t>NT$ 25,249</t>
  </si>
  <si>
    <t>NT$ 8,232</t>
  </si>
  <si>
    <t>NT$ 17,017</t>
  </si>
  <si>
    <r>
      <rPr>
        <b/>
        <sz val="18"/>
        <color rgb="FF1E293B"/>
        <rFont val="Arial"/>
        <family val="2"/>
      </rPr>
      <t xml:space="preserve">3,773 </t>
    </r>
    <r>
      <rPr>
        <b/>
        <sz val="18"/>
        <color rgb="FF1E293B"/>
        <rFont val="Noto Sans CJK SC"/>
        <family val="2"/>
      </rPr>
      <t>度</t>
    </r>
  </si>
  <si>
    <t>114/01</t>
  </si>
  <si>
    <r>
      <rPr>
        <sz val="9"/>
        <color rgb="FF334155"/>
        <rFont val="Arial"/>
        <family val="2"/>
      </rPr>
      <t xml:space="preserve">381 </t>
    </r>
    <r>
      <rPr>
        <sz val="9"/>
        <color rgb="FF334155"/>
        <rFont val="Noto Sans CJK SC"/>
        <family val="2"/>
      </rPr>
      <t>度</t>
    </r>
  </si>
  <si>
    <t>$810</t>
  </si>
  <si>
    <t>$1,481</t>
  </si>
  <si>
    <t>$2,291</t>
  </si>
  <si>
    <t>35.4%</t>
  </si>
  <si>
    <t>114/03</t>
  </si>
  <si>
    <r>
      <rPr>
        <sz val="9"/>
        <color rgb="FF334155"/>
        <rFont val="Arial"/>
        <family val="2"/>
      </rPr>
      <t xml:space="preserve">406 </t>
    </r>
    <r>
      <rPr>
        <sz val="9"/>
        <color rgb="FF334155"/>
        <rFont val="Noto Sans CJK SC"/>
        <family val="2"/>
      </rPr>
      <t>度</t>
    </r>
  </si>
  <si>
    <t>$885</t>
  </si>
  <si>
    <t>$1,397</t>
  </si>
  <si>
    <t>$2,282</t>
  </si>
  <si>
    <t>38.8%</t>
  </si>
  <si>
    <r>
      <rPr>
        <i/>
        <sz val="9"/>
        <color rgb="FF2563EB"/>
        <rFont val="Noto Sans CJK SC"/>
        <family val="2"/>
      </rPr>
      <t xml:space="preserve">共 </t>
    </r>
    <r>
      <rPr>
        <i/>
        <sz val="9"/>
        <color rgb="FF2563EB"/>
        <rFont val="Arial"/>
        <family val="2"/>
      </rPr>
      <t xml:space="preserve">10 </t>
    </r>
    <r>
      <rPr>
        <i/>
        <sz val="9"/>
        <color rgb="FF2563EB"/>
        <rFont val="Noto Sans CJK SC"/>
        <family val="2"/>
      </rPr>
      <t>期・不含</t>
    </r>
    <r>
      <rPr>
        <i/>
        <sz val="9"/>
        <color rgb="FF2563EB"/>
        <rFont val="Arial"/>
        <family val="2"/>
      </rPr>
      <t>113/09</t>
    </r>
    <r>
      <rPr>
        <i/>
        <sz val="9"/>
        <color rgb="FF2563EB"/>
        <rFont val="Noto Sans CJK SC"/>
        <family val="2"/>
      </rPr>
      <t>異常</t>
    </r>
  </si>
  <si>
    <r>
      <rPr>
        <i/>
        <sz val="9"/>
        <color rgb="FF059669"/>
        <rFont val="Noto Sans CJK SC"/>
        <family val="2"/>
      </rPr>
      <t xml:space="preserve">佔總費用 </t>
    </r>
    <r>
      <rPr>
        <i/>
        <sz val="9"/>
        <color rgb="FF059669"/>
        <rFont val="Arial"/>
        <family val="2"/>
      </rPr>
      <t>32.6%</t>
    </r>
  </si>
  <si>
    <r>
      <rPr>
        <i/>
        <sz val="9"/>
        <color rgb="FFD97706"/>
        <rFont val="Noto Sans CJK SC"/>
        <family val="2"/>
      </rPr>
      <t xml:space="preserve">佔總費用 </t>
    </r>
    <r>
      <rPr>
        <i/>
        <sz val="9"/>
        <color rgb="FFD97706"/>
        <rFont val="Arial"/>
        <family val="2"/>
      </rPr>
      <t>67.4%</t>
    </r>
  </si>
  <si>
    <r>
      <rPr>
        <i/>
        <sz val="9"/>
        <color rgb="FF7C3AED"/>
        <rFont val="Noto Sans CJK SC"/>
        <family val="2"/>
      </rPr>
      <t xml:space="preserve">平均 </t>
    </r>
    <r>
      <rPr>
        <i/>
        <sz val="9"/>
        <color rgb="FF7C3AED"/>
        <rFont val="Arial"/>
        <family val="2"/>
      </rPr>
      <t xml:space="preserve">377 </t>
    </r>
    <r>
      <rPr>
        <i/>
        <sz val="9"/>
        <color rgb="FF7C3AED"/>
        <rFont val="Noto Sans CJK SC"/>
        <family val="2"/>
      </rPr>
      <t xml:space="preserve">度 </t>
    </r>
    <r>
      <rPr>
        <i/>
        <sz val="9"/>
        <color rgb="FF7C3AED"/>
        <rFont val="Arial"/>
        <family val="2"/>
      </rPr>
      <t xml:space="preserve">/ </t>
    </r>
    <r>
      <rPr>
        <i/>
        <sz val="9"/>
        <color rgb="FF7C3AED"/>
        <rFont val="Noto Sans CJK SC"/>
        <family val="2"/>
      </rPr>
      <t>期</t>
    </r>
  </si>
  <si>
    <t>114/05</t>
  </si>
  <si>
    <r>
      <rPr>
        <sz val="9"/>
        <color rgb="FF334155"/>
        <rFont val="Arial"/>
        <family val="2"/>
      </rPr>
      <t xml:space="preserve">425 </t>
    </r>
    <r>
      <rPr>
        <sz val="9"/>
        <color rgb="FF334155"/>
        <rFont val="Noto Sans CJK SC"/>
        <family val="2"/>
      </rPr>
      <t>度</t>
    </r>
  </si>
  <si>
    <t>$943</t>
  </si>
  <si>
    <t>$1,553</t>
  </si>
  <si>
    <t>$2,496</t>
  </si>
  <si>
    <t>37.8%</t>
  </si>
  <si>
    <t>114/07</t>
  </si>
  <si>
    <r>
      <rPr>
        <sz val="9"/>
        <color rgb="FF334155"/>
        <rFont val="Arial"/>
        <family val="2"/>
      </rPr>
      <t xml:space="preserve">419 </t>
    </r>
    <r>
      <rPr>
        <sz val="9"/>
        <color rgb="FF334155"/>
        <rFont val="Noto Sans CJK SC"/>
        <family val="2"/>
      </rPr>
      <t>度</t>
    </r>
  </si>
  <si>
    <t>$925</t>
  </si>
  <si>
    <t>$1,831</t>
  </si>
  <si>
    <t>$2,756</t>
  </si>
  <si>
    <t>33.6%</t>
  </si>
  <si>
    <t>114/09</t>
  </si>
  <si>
    <r>
      <rPr>
        <sz val="9"/>
        <color rgb="FF334155"/>
        <rFont val="Arial"/>
        <family val="2"/>
      </rPr>
      <t xml:space="preserve">418 </t>
    </r>
    <r>
      <rPr>
        <sz val="9"/>
        <color rgb="FF334155"/>
        <rFont val="Noto Sans CJK SC"/>
        <family val="2"/>
      </rPr>
      <t>度</t>
    </r>
  </si>
  <si>
    <t>$1,042</t>
  </si>
  <si>
    <t>$2,451</t>
  </si>
  <si>
    <t>$3,493</t>
  </si>
  <si>
    <t>29.8%</t>
  </si>
  <si>
    <t>114/11</t>
  </si>
  <si>
    <r>
      <rPr>
        <sz val="9"/>
        <color rgb="FF334155"/>
        <rFont val="Arial"/>
        <family val="2"/>
      </rPr>
      <t xml:space="preserve">395 </t>
    </r>
    <r>
      <rPr>
        <sz val="9"/>
        <color rgb="FF334155"/>
        <rFont val="Noto Sans CJK SC"/>
        <family val="2"/>
      </rPr>
      <t>度</t>
    </r>
  </si>
  <si>
    <t>$852</t>
  </si>
  <si>
    <t>$2,041</t>
  </si>
  <si>
    <t>$2,893</t>
  </si>
  <si>
    <t>115/01</t>
  </si>
  <si>
    <r>
      <rPr>
        <sz val="9"/>
        <color rgb="FF334155"/>
        <rFont val="Arial"/>
        <family val="2"/>
      </rPr>
      <t xml:space="preserve">312 </t>
    </r>
    <r>
      <rPr>
        <sz val="9"/>
        <color rgb="FF334155"/>
        <rFont val="Noto Sans CJK SC"/>
        <family val="2"/>
      </rPr>
      <t>度</t>
    </r>
  </si>
  <si>
    <t>$648</t>
  </si>
  <si>
    <t>$1,508</t>
  </si>
  <si>
    <t>$2,156</t>
  </si>
  <si>
    <t>30.1%</t>
  </si>
  <si>
    <t>115/03</t>
  </si>
  <si>
    <r>
      <rPr>
        <sz val="9"/>
        <color rgb="FF334155"/>
        <rFont val="Arial"/>
        <family val="2"/>
      </rPr>
      <t xml:space="preserve">345 </t>
    </r>
    <r>
      <rPr>
        <sz val="9"/>
        <color rgb="FF334155"/>
        <rFont val="Noto Sans CJK SC"/>
        <family val="2"/>
      </rPr>
      <t>度</t>
    </r>
  </si>
  <si>
    <t>$735</t>
  </si>
  <si>
    <t>$1,443</t>
  </si>
  <si>
    <t>$2,178</t>
  </si>
  <si>
    <t>33.7%</t>
  </si>
  <si>
    <t>115/05</t>
  </si>
  <si>
    <r>
      <rPr>
        <sz val="9"/>
        <color rgb="FF334155"/>
        <rFont val="Arial"/>
        <family val="2"/>
      </rPr>
      <t xml:space="preserve">314 </t>
    </r>
    <r>
      <rPr>
        <sz val="9"/>
        <color rgb="FF334155"/>
        <rFont val="Noto Sans CJK SC"/>
        <family val="2"/>
      </rPr>
      <t>度</t>
    </r>
  </si>
  <si>
    <t>$652</t>
  </si>
  <si>
    <t>$1,543</t>
  </si>
  <si>
    <t>$2,195</t>
  </si>
  <si>
    <t>29.7%</t>
  </si>
  <si>
    <t>📊  彙總（不含異常期）</t>
  </si>
  <si>
    <t>累計總電費</t>
  </si>
  <si>
    <r>
      <rPr>
        <sz val="9"/>
        <color rgb="FF64748B"/>
        <rFont val="Noto Sans CJK SC"/>
        <family val="2"/>
      </rPr>
      <t>流動費用</t>
    </r>
    <r>
      <rPr>
        <sz val="9"/>
        <color rgb="FF64748B"/>
        <rFont val="Arial"/>
        <family val="2"/>
      </rPr>
      <t>%</t>
    </r>
  </si>
  <si>
    <t>32.6%</t>
  </si>
  <si>
    <r>
      <rPr>
        <sz val="9"/>
        <color rgb="FF64748B"/>
        <rFont val="Noto Sans CJK SC"/>
        <family val="2"/>
      </rPr>
      <t>公共費用</t>
    </r>
    <r>
      <rPr>
        <sz val="9"/>
        <color rgb="FF64748B"/>
        <rFont val="Arial"/>
        <family val="2"/>
      </rPr>
      <t>%</t>
    </r>
  </si>
  <si>
    <t>67.4%</t>
  </si>
  <si>
    <t>資料期數</t>
  </si>
  <si>
    <r>
      <rPr>
        <b/>
        <sz val="11"/>
        <color rgb="FF64748B"/>
        <rFont val="Arial"/>
        <family val="2"/>
      </rPr>
      <t xml:space="preserve">10 </t>
    </r>
    <r>
      <rPr>
        <b/>
        <sz val="11"/>
        <color rgb="FF64748B"/>
        <rFont val="Noto Sans CJK SC"/>
        <family val="2"/>
      </rPr>
      <t>期</t>
    </r>
  </si>
  <si>
    <t>⚡ 新增電費資料</t>
  </si>
  <si>
    <r>
      <rPr>
        <i/>
        <sz val="10"/>
        <color rgb="FF059669"/>
        <rFont val="Noto Sans CJK SC"/>
        <family val="2"/>
      </rPr>
      <t xml:space="preserve">  填寫以下 </t>
    </r>
    <r>
      <rPr>
        <i/>
        <sz val="10"/>
        <color rgb="FF059669"/>
        <rFont val="Arial"/>
        <family val="2"/>
      </rPr>
      <t xml:space="preserve">4 </t>
    </r>
    <r>
      <rPr>
        <i/>
        <sz val="10"/>
        <color rgb="FF059669"/>
        <rFont val="Noto Sans CJK SC"/>
        <family val="2"/>
      </rPr>
      <t>格，按「✅ 確認新增」，自動更新全部資料與圖表</t>
    </r>
  </si>
  <si>
    <r>
      <rPr>
        <i/>
        <sz val="8"/>
        <color rgb="FF94A3B8"/>
        <rFont val="Noto Sans CJK SC"/>
        <family val="2"/>
      </rPr>
      <t xml:space="preserve">  ↑ 格式：</t>
    </r>
    <r>
      <rPr>
        <i/>
        <sz val="8"/>
        <color rgb="FF94A3B8"/>
        <rFont val="Arial"/>
        <family val="2"/>
      </rPr>
      <t>115/07</t>
    </r>
  </si>
  <si>
    <t>用電度數</t>
  </si>
  <si>
    <t xml:space="preserve">  ↑ 單位：度（整數）</t>
  </si>
  <si>
    <r>
      <rPr>
        <b/>
        <sz val="11"/>
        <color rgb="FF1E3A5F"/>
        <rFont val="Noto Sans CJK SC"/>
        <family val="2"/>
      </rPr>
      <t>總電費</t>
    </r>
    <r>
      <rPr>
        <b/>
        <sz val="11"/>
        <color rgb="FF1E3A5F"/>
        <rFont val="Arial"/>
        <family val="2"/>
      </rPr>
      <t>(</t>
    </r>
    <r>
      <rPr>
        <b/>
        <sz val="11"/>
        <color rgb="FF1E3A5F"/>
        <rFont val="Noto Sans CJK SC"/>
        <family val="2"/>
      </rPr>
      <t>元</t>
    </r>
    <r>
      <rPr>
        <b/>
        <sz val="11"/>
        <color rgb="FF1E3A5F"/>
        <rFont val="Arial"/>
        <family val="2"/>
      </rPr>
      <t>)</t>
    </r>
  </si>
  <si>
    <t xml:space="preserve">  ↑ 台電帳單金額（整數）</t>
  </si>
  <si>
    <r>
      <rPr>
        <i/>
        <sz val="8"/>
        <color rgb="FF94A3B8"/>
        <rFont val="Noto Sans CJK SC"/>
        <family val="2"/>
      </rPr>
      <t xml:space="preserve">  ↑ 下拉選：夏季 </t>
    </r>
    <r>
      <rPr>
        <i/>
        <sz val="8"/>
        <color rgb="FF94A3B8"/>
        <rFont val="Arial"/>
        <family val="2"/>
      </rPr>
      <t xml:space="preserve">/ </t>
    </r>
    <r>
      <rPr>
        <i/>
        <sz val="8"/>
        <color rgb="FF94A3B8"/>
        <rFont val="Noto Sans CJK SC"/>
        <family val="2"/>
      </rPr>
      <t>非夏季</t>
    </r>
  </si>
  <si>
    <r>
      <rPr>
        <b/>
        <sz val="12"/>
        <color rgb="FFFFFFFF"/>
        <rFont val="Noto Sans CJK SC"/>
        <family val="2"/>
      </rPr>
      <t xml:space="preserve">✅  確認新增  （按鈕需先設定 </t>
    </r>
    <r>
      <rPr>
        <b/>
        <sz val="12"/>
        <color rgb="FFFFFFFF"/>
        <rFont val="Arial"/>
        <family val="2"/>
      </rPr>
      <t>VBA Macro: AddNewRecord</t>
    </r>
    <r>
      <rPr>
        <b/>
        <sz val="12"/>
        <color rgb="FFFFFFFF"/>
        <rFont val="Noto Sans CJK SC"/>
        <family val="2"/>
      </rPr>
      <t>）</t>
    </r>
  </si>
  <si>
    <t>── 新增後自動顯示結果 ──</t>
  </si>
  <si>
    <t>費率版本</t>
  </si>
  <si>
    <t>流動費用估算</t>
  </si>
  <si>
    <t>公共費用估算</t>
  </si>
  <si>
    <t>半年別</t>
  </si>
  <si>
    <r>
      <rPr>
        <sz val="9"/>
        <color rgb="FF1E3A5F"/>
        <rFont val="Noto Sans CJK SC"/>
        <family val="2"/>
      </rPr>
      <t xml:space="preserve">📌 操作說明：
</t>
    </r>
    <r>
      <rPr>
        <sz val="9"/>
        <color rgb="FF1E3A5F"/>
        <rFont val="Arial"/>
        <family val="2"/>
      </rPr>
      <t xml:space="preserve">1. </t>
    </r>
    <r>
      <rPr>
        <sz val="9"/>
        <color rgb="FF1E3A5F"/>
        <rFont val="Noto Sans CJK SC"/>
        <family val="2"/>
      </rPr>
      <t xml:space="preserve">填完 </t>
    </r>
    <r>
      <rPr>
        <sz val="9"/>
        <color rgb="FF1E3A5F"/>
        <rFont val="Arial"/>
        <family val="2"/>
      </rPr>
      <t xml:space="preserve">4 </t>
    </r>
    <r>
      <rPr>
        <sz val="9"/>
        <color rgb="FF1E3A5F"/>
        <rFont val="Noto Sans CJK SC"/>
        <family val="2"/>
      </rPr>
      <t xml:space="preserve">格後按綠色按鈕
</t>
    </r>
    <r>
      <rPr>
        <sz val="9"/>
        <color rgb="FF1E3A5F"/>
        <rFont val="Arial"/>
        <family val="2"/>
      </rPr>
      <t xml:space="preserve">2. VBA </t>
    </r>
    <r>
      <rPr>
        <sz val="9"/>
        <color rgb="FF1E3A5F"/>
        <rFont val="Noto Sans CJK SC"/>
        <family val="2"/>
      </rPr>
      <t xml:space="preserve">自動計算流動費用、公共費用，寫入 </t>
    </r>
    <r>
      <rPr>
        <sz val="9"/>
        <color rgb="FF1E3A5F"/>
        <rFont val="Arial"/>
        <family val="2"/>
      </rPr>
      <t xml:space="preserve">Raw Data
3. </t>
    </r>
    <r>
      <rPr>
        <sz val="9"/>
        <color rgb="FF1E3A5F"/>
        <rFont val="Noto Sans CJK SC"/>
        <family val="2"/>
      </rPr>
      <t xml:space="preserve">圖表與 </t>
    </r>
    <r>
      <rPr>
        <sz val="9"/>
        <color rgb="FF1E3A5F"/>
        <rFont val="Arial"/>
        <family val="2"/>
      </rPr>
      <t xml:space="preserve">Dashboard </t>
    </r>
    <r>
      <rPr>
        <sz val="9"/>
        <color rgb="FF1E3A5F"/>
        <rFont val="Noto Sans CJK SC"/>
        <family val="2"/>
      </rPr>
      <t xml:space="preserve">統計表自動更新
</t>
    </r>
    <r>
      <rPr>
        <sz val="9"/>
        <color rgb="FF1E3A5F"/>
        <rFont val="Arial"/>
        <family val="2"/>
      </rPr>
      <t xml:space="preserve">4. </t>
    </r>
    <r>
      <rPr>
        <sz val="9"/>
        <color rgb="FF1E3A5F"/>
        <rFont val="Noto Sans CJK SC"/>
        <family val="2"/>
      </rPr>
      <t xml:space="preserve">首次使用：需另存為 </t>
    </r>
    <r>
      <rPr>
        <sz val="9"/>
        <color rgb="FF1E3A5F"/>
        <rFont val="Arial"/>
        <family val="2"/>
      </rPr>
      <t xml:space="preserve">.xlsm </t>
    </r>
    <r>
      <rPr>
        <sz val="9"/>
        <color rgb="FF1E3A5F"/>
        <rFont val="Noto Sans CJK SC"/>
        <family val="2"/>
      </rPr>
      <t xml:space="preserve">並加入 </t>
    </r>
    <r>
      <rPr>
        <sz val="9"/>
        <color rgb="FF1E3A5F"/>
        <rFont val="Arial"/>
        <family val="2"/>
      </rPr>
      <t xml:space="preserve">VBA </t>
    </r>
    <r>
      <rPr>
        <sz val="9"/>
        <color rgb="FF1E3A5F"/>
        <rFont val="Noto Sans CJK SC"/>
        <family val="2"/>
      </rPr>
      <t>模組</t>
    </r>
  </si>
  <si>
    <r>
      <rPr>
        <b/>
        <sz val="14"/>
        <color rgb="FF1E3A5F"/>
        <rFont val="Noto Sans CJK SC"/>
        <family val="2"/>
      </rPr>
      <t xml:space="preserve">⚡ 電費 </t>
    </r>
    <r>
      <rPr>
        <b/>
        <sz val="14"/>
        <color rgb="FF1E3A5F"/>
        <rFont val="Arial"/>
        <family val="2"/>
      </rPr>
      <t>Raw Data</t>
    </r>
  </si>
  <si>
    <t>📋 累進費率查詢表</t>
  </si>
  <si>
    <r>
      <rPr>
        <i/>
        <sz val="9"/>
        <color rgb="FF059669"/>
        <rFont val="Noto Sans CJK SC"/>
        <family val="2"/>
      </rPr>
      <t xml:space="preserve">  📌 每期只需填寫 </t>
    </r>
    <r>
      <rPr>
        <i/>
        <sz val="9"/>
        <color rgb="FF059669"/>
        <rFont val="Arial"/>
        <family val="2"/>
      </rPr>
      <t>A</t>
    </r>
    <r>
      <rPr>
        <i/>
        <sz val="9"/>
        <color rgb="FF059669"/>
        <rFont val="Noto Sans CJK SC"/>
        <family val="2"/>
      </rPr>
      <t>（帳單月份）、</t>
    </r>
    <r>
      <rPr>
        <i/>
        <sz val="9"/>
        <color rgb="FF059669"/>
        <rFont val="Arial"/>
        <family val="2"/>
      </rPr>
      <t>B</t>
    </r>
    <r>
      <rPr>
        <i/>
        <sz val="9"/>
        <color rgb="FF059669"/>
        <rFont val="Noto Sans CJK SC"/>
        <family val="2"/>
      </rPr>
      <t>（度數）、</t>
    </r>
    <r>
      <rPr>
        <i/>
        <sz val="9"/>
        <color rgb="FF059669"/>
        <rFont val="Arial"/>
        <family val="2"/>
      </rPr>
      <t>C</t>
    </r>
    <r>
      <rPr>
        <i/>
        <sz val="9"/>
        <color rgb="FF059669"/>
        <rFont val="Noto Sans CJK SC"/>
        <family val="2"/>
      </rPr>
      <t>（總電費）、</t>
    </r>
    <r>
      <rPr>
        <i/>
        <sz val="9"/>
        <color rgb="FF059669"/>
        <rFont val="Arial"/>
        <family val="2"/>
      </rPr>
      <t>D</t>
    </r>
    <r>
      <rPr>
        <i/>
        <sz val="9"/>
        <color rgb="FF059669"/>
        <rFont val="Noto Sans CJK SC"/>
        <family val="2"/>
      </rPr>
      <t>（季節）→ 其餘自動計算；</t>
    </r>
    <r>
      <rPr>
        <i/>
        <sz val="9"/>
        <color rgb="FF059669"/>
        <rFont val="Arial"/>
        <family val="2"/>
      </rPr>
      <t xml:space="preserve">VBA </t>
    </r>
    <r>
      <rPr>
        <i/>
        <sz val="9"/>
        <color rgb="FF059669"/>
        <rFont val="Noto Sans CJK SC"/>
        <family val="2"/>
      </rPr>
      <t>按鈕新增更方便</t>
    </r>
  </si>
  <si>
    <r>
      <rPr>
        <i/>
        <sz val="8"/>
        <color rgb="FF64748B"/>
        <rFont val="Noto Sans CJK SC"/>
        <family val="2"/>
      </rPr>
      <t>版本</t>
    </r>
    <r>
      <rPr>
        <i/>
        <sz val="8"/>
        <color rgb="FF64748B"/>
        <rFont val="Arial"/>
        <family val="2"/>
      </rPr>
      <t>A</t>
    </r>
    <r>
      <rPr>
        <i/>
        <sz val="8"/>
        <color rgb="FF64748B"/>
        <rFont val="Noto Sans CJK SC"/>
        <family val="2"/>
      </rPr>
      <t>：</t>
    </r>
    <r>
      <rPr>
        <i/>
        <sz val="8"/>
        <color rgb="FF64748B"/>
        <rFont val="Arial"/>
        <family val="2"/>
      </rPr>
      <t>113/04/01–114/09/30</t>
    </r>
    <r>
      <rPr>
        <i/>
        <sz val="8"/>
        <color rgb="FF64748B"/>
        <rFont val="Noto Sans CJK SC"/>
        <family val="2"/>
      </rPr>
      <t>　｜　版本</t>
    </r>
    <r>
      <rPr>
        <i/>
        <sz val="8"/>
        <color rgb="FF64748B"/>
        <rFont val="Arial"/>
        <family val="2"/>
      </rPr>
      <t>B</t>
    </r>
    <r>
      <rPr>
        <i/>
        <sz val="8"/>
        <color rgb="FF64748B"/>
        <rFont val="Noto Sans CJK SC"/>
        <family val="2"/>
      </rPr>
      <t>：</t>
    </r>
    <r>
      <rPr>
        <i/>
        <sz val="8"/>
        <color rgb="FF64748B"/>
        <rFont val="Arial"/>
        <family val="2"/>
      </rPr>
      <t>114/10/01</t>
    </r>
    <r>
      <rPr>
        <i/>
        <sz val="8"/>
        <color rgb="FF64748B"/>
        <rFont val="Noto Sans CJK SC"/>
        <family val="2"/>
      </rPr>
      <t>起</t>
    </r>
  </si>
  <si>
    <r>
      <rPr>
        <b/>
        <sz val="9"/>
        <color rgb="FFFFFFFF"/>
        <rFont val="Noto Sans CJK SC"/>
        <family val="2"/>
      </rPr>
      <t>總電費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元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</si>
  <si>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Noto Sans CJK SC"/>
        <family val="2"/>
      </rPr>
      <t>流動費用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元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</si>
  <si>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Noto Sans CJK SC"/>
        <family val="2"/>
      </rPr>
      <t>公共費用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元</t>
    </r>
    <r>
      <rPr>
        <b/>
        <sz val="9"/>
        <color rgb="FFFFFFFF"/>
        <rFont val="Arial"/>
        <family val="2"/>
      </rPr>
      <t>)</t>
    </r>
  </si>
  <si>
    <t>備註</t>
  </si>
  <si>
    <t>半年</t>
  </si>
  <si>
    <t>年度</t>
  </si>
  <si>
    <r>
      <rPr>
        <b/>
        <sz val="9"/>
        <color rgb="FFFFFFFF"/>
        <rFont val="Noto Sans CJK SC"/>
        <family val="2"/>
      </rPr>
      <t>費率</t>
    </r>
    <r>
      <rPr>
        <b/>
        <sz val="9"/>
        <color rgb="FFFFFFFF"/>
        <rFont val="Arial"/>
        <family val="2"/>
      </rPr>
      <t>Key</t>
    </r>
  </si>
  <si>
    <r>
      <rPr>
        <b/>
        <sz val="9"/>
        <color rgb="FFFFFFFF"/>
        <rFont val="Noto Sans CJK SC"/>
        <family val="2"/>
      </rPr>
      <t>第</t>
    </r>
    <r>
      <rPr>
        <b/>
        <sz val="9"/>
        <color rgb="FFFFFFFF"/>
        <rFont val="Arial"/>
        <family val="2"/>
      </rPr>
      <t>1</t>
    </r>
    <r>
      <rPr>
        <b/>
        <sz val="9"/>
        <color rgb="FFFFFFFF"/>
        <rFont val="Noto Sans CJK SC"/>
        <family val="2"/>
      </rPr>
      <t>段
≤</t>
    </r>
    <r>
      <rPr>
        <b/>
        <sz val="9"/>
        <color rgb="FFFFFFFF"/>
        <rFont val="Arial"/>
        <family val="2"/>
      </rPr>
      <t>120</t>
    </r>
    <r>
      <rPr>
        <b/>
        <sz val="9"/>
        <color rgb="FFFFFFFF"/>
        <rFont val="Noto Sans CJK SC"/>
        <family val="2"/>
      </rPr>
      <t>度</t>
    </r>
  </si>
  <si>
    <r>
      <rPr>
        <b/>
        <sz val="9"/>
        <color rgb="FFFFFFFF"/>
        <rFont val="Noto Sans CJK SC"/>
        <family val="2"/>
      </rPr>
      <t>第</t>
    </r>
    <r>
      <rPr>
        <b/>
        <sz val="9"/>
        <color rgb="FFFFFFFF"/>
        <rFont val="Arial"/>
        <family val="2"/>
      </rPr>
      <t>2</t>
    </r>
    <r>
      <rPr>
        <b/>
        <sz val="9"/>
        <color rgb="FFFFFFFF"/>
        <rFont val="Noto Sans CJK SC"/>
        <family val="2"/>
      </rPr>
      <t xml:space="preserve">段
</t>
    </r>
    <r>
      <rPr>
        <b/>
        <sz val="9"/>
        <color rgb="FFFFFFFF"/>
        <rFont val="Arial"/>
        <family val="2"/>
      </rPr>
      <t>121-330</t>
    </r>
  </si>
  <si>
    <r>
      <rPr>
        <b/>
        <sz val="9"/>
        <color rgb="FFFFFFFF"/>
        <rFont val="Noto Sans CJK SC"/>
        <family val="2"/>
      </rPr>
      <t>第</t>
    </r>
    <r>
      <rPr>
        <b/>
        <sz val="9"/>
        <color rgb="FFFFFFFF"/>
        <rFont val="Arial"/>
        <family val="2"/>
      </rPr>
      <t>3</t>
    </r>
    <r>
      <rPr>
        <b/>
        <sz val="9"/>
        <color rgb="FFFFFFFF"/>
        <rFont val="Noto Sans CJK SC"/>
        <family val="2"/>
      </rPr>
      <t xml:space="preserve">段
</t>
    </r>
    <r>
      <rPr>
        <b/>
        <sz val="9"/>
        <color rgb="FFFFFFFF"/>
        <rFont val="Arial"/>
        <family val="2"/>
      </rPr>
      <t>331-500</t>
    </r>
  </si>
  <si>
    <r>
      <rPr>
        <b/>
        <sz val="9"/>
        <color rgb="FFFFFFFF"/>
        <rFont val="Noto Sans CJK SC"/>
        <family val="2"/>
      </rPr>
      <t>第</t>
    </r>
    <r>
      <rPr>
        <b/>
        <sz val="9"/>
        <color rgb="FFFFFFFF"/>
        <rFont val="Arial"/>
        <family val="2"/>
      </rPr>
      <t>4</t>
    </r>
    <r>
      <rPr>
        <b/>
        <sz val="9"/>
        <color rgb="FFFFFFFF"/>
        <rFont val="Noto Sans CJK SC"/>
        <family val="2"/>
      </rPr>
      <t xml:space="preserve">段
</t>
    </r>
    <r>
      <rPr>
        <b/>
        <sz val="9"/>
        <color rgb="FFFFFFFF"/>
        <rFont val="Arial"/>
        <family val="2"/>
      </rPr>
      <t>501-700</t>
    </r>
  </si>
  <si>
    <r>
      <rPr>
        <b/>
        <sz val="9"/>
        <color rgb="FFFFFFFF"/>
        <rFont val="Noto Sans CJK SC"/>
        <family val="2"/>
      </rPr>
      <t>第</t>
    </r>
    <r>
      <rPr>
        <b/>
        <sz val="9"/>
        <color rgb="FFFFFFFF"/>
        <rFont val="Arial"/>
        <family val="2"/>
      </rPr>
      <t>5</t>
    </r>
    <r>
      <rPr>
        <b/>
        <sz val="9"/>
        <color rgb="FFFFFFFF"/>
        <rFont val="Noto Sans CJK SC"/>
        <family val="2"/>
      </rPr>
      <t xml:space="preserve">段
</t>
    </r>
    <r>
      <rPr>
        <b/>
        <sz val="9"/>
        <color rgb="FFFFFFFF"/>
        <rFont val="Arial"/>
        <family val="2"/>
      </rPr>
      <t>701-999</t>
    </r>
  </si>
  <si>
    <r>
      <rPr>
        <b/>
        <sz val="9"/>
        <color rgb="FFFFFFFF"/>
        <rFont val="Noto Sans CJK SC"/>
        <family val="2"/>
      </rPr>
      <t>第</t>
    </r>
    <r>
      <rPr>
        <b/>
        <sz val="9"/>
        <color rgb="FFFFFFFF"/>
        <rFont val="Arial"/>
        <family val="2"/>
      </rPr>
      <t>6</t>
    </r>
    <r>
      <rPr>
        <b/>
        <sz val="9"/>
        <color rgb="FFFFFFFF"/>
        <rFont val="Noto Sans CJK SC"/>
        <family val="2"/>
      </rPr>
      <t>段
≥</t>
    </r>
    <r>
      <rPr>
        <b/>
        <sz val="9"/>
        <color rgb="FFFFFFFF"/>
        <rFont val="Arial"/>
        <family val="2"/>
      </rPr>
      <t>1000</t>
    </r>
  </si>
  <si>
    <r>
      <rPr>
        <i/>
        <sz val="9"/>
        <color rgb="FF92400E"/>
        <rFont val="Arial"/>
        <family val="2"/>
      </rPr>
      <t>N/A (</t>
    </r>
    <r>
      <rPr>
        <i/>
        <sz val="9"/>
        <color rgb="FF92400E"/>
        <rFont val="Noto Sans CJK SC"/>
        <family val="2"/>
      </rPr>
      <t>溢繳抵扣</t>
    </r>
    <r>
      <rPr>
        <i/>
        <sz val="9"/>
        <color rgb="FF92400E"/>
        <rFont val="Arial"/>
        <family val="2"/>
      </rPr>
      <t>)</t>
    </r>
  </si>
  <si>
    <r>
      <rPr>
        <i/>
        <sz val="9"/>
        <color rgb="FF92400E"/>
        <rFont val="Arial"/>
        <family val="2"/>
      </rPr>
      <t>113/07</t>
    </r>
    <r>
      <rPr>
        <i/>
        <sz val="9"/>
        <color rgb="FF92400E"/>
        <rFont val="Noto Sans CJK SC"/>
        <family val="2"/>
      </rPr>
      <t xml:space="preserve">溢繳抵扣（正常流動費用估算 </t>
    </r>
    <r>
      <rPr>
        <i/>
        <sz val="9"/>
        <color rgb="FF92400E"/>
        <rFont val="Arial"/>
        <family val="2"/>
      </rPr>
      <t>$672</t>
    </r>
    <r>
      <rPr>
        <i/>
        <sz val="9"/>
        <color rgb="FF92400E"/>
        <rFont val="Noto Sans CJK SC"/>
        <family val="2"/>
      </rPr>
      <t xml:space="preserve">，實收 </t>
    </r>
    <r>
      <rPr>
        <i/>
        <sz val="9"/>
        <color rgb="FF92400E"/>
        <rFont val="Arial"/>
        <family val="2"/>
      </rPr>
      <t>$80</t>
    </r>
    <r>
      <rPr>
        <i/>
        <sz val="9"/>
        <color rgb="FF92400E"/>
        <rFont val="Noto Sans CJK SC"/>
        <family val="2"/>
      </rPr>
      <t>）</t>
    </r>
  </si>
  <si>
    <t>⚠ 溢繳抵扣期</t>
  </si>
  <si>
    <r>
      <rPr>
        <b/>
        <sz val="10"/>
        <color rgb="FF2563EB"/>
        <rFont val="Arial"/>
        <family val="2"/>
      </rPr>
      <t>A</t>
    </r>
    <r>
      <rPr>
        <b/>
        <sz val="10"/>
        <color rgb="FF2563EB"/>
        <rFont val="Noto Sans CJK SC"/>
        <family val="2"/>
      </rPr>
      <t>夏季</t>
    </r>
  </si>
  <si>
    <r>
      <rPr>
        <b/>
        <sz val="10"/>
        <color rgb="FF2563EB"/>
        <rFont val="Arial"/>
        <family val="2"/>
      </rPr>
      <t>A</t>
    </r>
    <r>
      <rPr>
        <b/>
        <sz val="10"/>
        <color rgb="FF2563EB"/>
        <rFont val="Noto Sans CJK SC"/>
        <family val="2"/>
      </rPr>
      <t>非夏季</t>
    </r>
  </si>
  <si>
    <r>
      <rPr>
        <b/>
        <sz val="10"/>
        <color rgb="FF2563EB"/>
        <rFont val="Arial"/>
        <family val="2"/>
      </rPr>
      <t>B</t>
    </r>
    <r>
      <rPr>
        <b/>
        <sz val="10"/>
        <color rgb="FF2563EB"/>
        <rFont val="Noto Sans CJK SC"/>
        <family val="2"/>
      </rPr>
      <t>夏季</t>
    </r>
  </si>
  <si>
    <r>
      <rPr>
        <b/>
        <sz val="10"/>
        <color rgb="FF2563EB"/>
        <rFont val="Arial"/>
        <family val="2"/>
      </rPr>
      <t>B</t>
    </r>
    <r>
      <rPr>
        <b/>
        <sz val="10"/>
        <color rgb="FF2563EB"/>
        <rFont val="Noto Sans CJK SC"/>
        <family val="2"/>
      </rPr>
      <t>非夏季</t>
    </r>
  </si>
  <si>
    <t>期別</t>
  </si>
  <si>
    <r>
      <rPr>
        <sz val="11"/>
        <color theme="1"/>
        <rFont val="Calibri"/>
        <family val="2"/>
        <charset val="1"/>
      </rPr>
      <t>113</t>
    </r>
    <r>
      <rPr>
        <sz val="11"/>
        <color theme="1"/>
        <rFont val="Noto Sans CJK SC"/>
        <family val="2"/>
      </rPr>
      <t>年</t>
    </r>
  </si>
  <si>
    <r>
      <rPr>
        <sz val="11"/>
        <color theme="1"/>
        <rFont val="Calibri"/>
        <family val="2"/>
        <charset val="1"/>
      </rPr>
      <t>114</t>
    </r>
    <r>
      <rPr>
        <sz val="11"/>
        <color theme="1"/>
        <rFont val="Noto Sans CJK SC"/>
        <family val="2"/>
      </rPr>
      <t>年</t>
    </r>
  </si>
  <si>
    <r>
      <rPr>
        <sz val="11"/>
        <color theme="1"/>
        <rFont val="Calibri"/>
        <family val="2"/>
        <charset val="1"/>
      </rPr>
      <t>115</t>
    </r>
    <r>
      <rPr>
        <sz val="11"/>
        <color theme="1"/>
        <rFont val="Noto Sans CJK SC"/>
        <family val="2"/>
      </rPr>
      <t>年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</si>
</sst>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&quot;元/度&quot;"/>
    <numFmt numFmtId="177" formatCode="0.0%"/>
  </numFmts>
  <fonts count="72">
    <font>
      <sz val="11"/>
      <color theme="1"/>
      <name val="Calibri"/>
      <family val="2"/>
      <charset val="1"/>
    </font>
    <font>
      <b/>
      <sz val="20"/>
      <color rgb="FFFFFFFF"/>
      <name val="Noto Sans CJK SC"/>
      <family val="2"/>
    </font>
    <font>
      <b/>
      <sz val="20"/>
      <color rgb="FFFFFFFF"/>
      <name val="Arial"/>
      <family val="2"/>
    </font>
    <font>
      <b/>
      <sz val="12"/>
      <color rgb="FFFFFFFF"/>
      <name val="Noto Sans CJK SC"/>
      <family val="2"/>
    </font>
    <font>
      <i/>
      <sz val="9"/>
      <color rgb="FF64748B"/>
      <name val="Noto Sans CJK SC"/>
      <family val="2"/>
    </font>
    <font>
      <i/>
      <sz val="9"/>
      <color rgb="FF64748B"/>
      <name val="Arial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i/>
      <sz val="9"/>
      <color rgb="FF1E293B"/>
      <name val="Arial"/>
      <family val="2"/>
    </font>
    <font>
      <i/>
      <sz val="9"/>
      <color rgb="FFDC6803"/>
      <name val="Noto Sans CJK SC"/>
      <family val="2"/>
    </font>
    <font>
      <i/>
      <sz val="9"/>
      <color rgb="FF334155"/>
      <name val="Arial"/>
      <family val="2"/>
    </font>
    <font>
      <i/>
      <sz val="9"/>
      <color rgb="FF334155"/>
      <name val="Noto Sans CJK SC"/>
      <family val="2"/>
    </font>
    <font>
      <i/>
      <sz val="9"/>
      <color rgb="FF059669"/>
      <name val="Arial"/>
      <family val="2"/>
    </font>
    <font>
      <i/>
      <sz val="9"/>
      <color rgb="FFB45309"/>
      <name val="Noto Sans CJK SC"/>
      <family val="2"/>
    </font>
    <font>
      <i/>
      <sz val="9"/>
      <color rgb="FFB45309"/>
      <name val="Arial"/>
      <family val="2"/>
    </font>
    <font>
      <b/>
      <sz val="10"/>
      <color rgb="FFFFFFFF"/>
      <name val="Noto Sans CJK SC"/>
      <family val="2"/>
    </font>
    <font>
      <b/>
      <sz val="9"/>
      <color rgb="FF1E293B"/>
      <name val="Arial"/>
      <family val="2"/>
    </font>
    <font>
      <sz val="9"/>
      <color rgb="FF1D4ED8"/>
      <name val="Noto Sans CJK SC"/>
      <family val="2"/>
    </font>
    <font>
      <sz val="9"/>
      <color rgb="FF334155"/>
      <name val="Arial"/>
      <family val="2"/>
    </font>
    <font>
      <sz val="9"/>
      <color rgb="FF334155"/>
      <name val="Noto Sans CJK SC"/>
      <family val="2"/>
    </font>
    <font>
      <sz val="9"/>
      <color rgb="FF059669"/>
      <name val="Arial"/>
      <family val="2"/>
    </font>
    <font>
      <sz val="9"/>
      <color rgb="FF7C3AED"/>
      <name val="Arial"/>
      <family val="2"/>
    </font>
    <font>
      <b/>
      <sz val="18"/>
      <color rgb="FF1E293B"/>
      <name val="Arial"/>
      <family val="2"/>
    </font>
    <font>
      <b/>
      <sz val="18"/>
      <color rgb="FF1E293B"/>
      <name val="Noto Sans CJK SC"/>
      <family val="2"/>
    </font>
    <font>
      <i/>
      <sz val="9"/>
      <color rgb="FF2563EB"/>
      <name val="Noto Sans CJK SC"/>
      <family val="2"/>
    </font>
    <font>
      <i/>
      <sz val="9"/>
      <color rgb="FF2563EB"/>
      <name val="Arial"/>
      <family val="2"/>
    </font>
    <font>
      <i/>
      <sz val="9"/>
      <color rgb="FF059669"/>
      <name val="Noto Sans CJK SC"/>
      <family val="2"/>
    </font>
    <font>
      <i/>
      <sz val="9"/>
      <color rgb="FFD97706"/>
      <name val="Noto Sans CJK SC"/>
      <family val="2"/>
    </font>
    <font>
      <i/>
      <sz val="9"/>
      <color rgb="FFD97706"/>
      <name val="Arial"/>
      <family val="2"/>
    </font>
    <font>
      <i/>
      <sz val="9"/>
      <color rgb="FF7C3AED"/>
      <name val="Noto Sans CJK SC"/>
      <family val="2"/>
    </font>
    <font>
      <i/>
      <sz val="9"/>
      <color rgb="FF7C3AED"/>
      <name val="Arial"/>
      <family val="2"/>
    </font>
    <font>
      <sz val="9"/>
      <color rgb="FFDC6803"/>
      <name val="Noto Sans CJK SC"/>
      <family val="2"/>
    </font>
    <font>
      <sz val="9"/>
      <color rgb="FF64748B"/>
      <name val="Noto Sans CJK SC"/>
      <family val="2"/>
    </font>
    <font>
      <b/>
      <sz val="11"/>
      <color rgb="FF1E293B"/>
      <name val="Arial"/>
      <family val="2"/>
    </font>
    <font>
      <b/>
      <sz val="11"/>
      <color rgb="FF2563EB"/>
      <name val="Arial"/>
      <family val="2"/>
    </font>
    <font>
      <b/>
      <sz val="11"/>
      <color rgb="FFD97706"/>
      <name val="Arial"/>
      <family val="2"/>
    </font>
    <font>
      <sz val="9"/>
      <color rgb="FF64748B"/>
      <name val="Arial"/>
      <family val="2"/>
    </font>
    <font>
      <b/>
      <sz val="11"/>
      <color rgb="FF059669"/>
      <name val="Arial"/>
      <family val="2"/>
    </font>
    <font>
      <b/>
      <sz val="11"/>
      <color rgb="FF7C3AED"/>
      <name val="Arial"/>
      <family val="2"/>
    </font>
    <font>
      <b/>
      <sz val="11"/>
      <color rgb="FF64748B"/>
      <name val="Arial"/>
      <family val="2"/>
    </font>
    <font>
      <b/>
      <sz val="11"/>
      <color rgb="FF64748B"/>
      <name val="Noto Sans CJK SC"/>
      <family val="2"/>
    </font>
    <font>
      <b/>
      <sz val="16"/>
      <color rgb="FFFFFFFF"/>
      <name val="Noto Sans CJK SC"/>
      <family val="2"/>
    </font>
    <font>
      <i/>
      <sz val="10"/>
      <color rgb="FF059669"/>
      <name val="Noto Sans CJK SC"/>
      <family val="2"/>
    </font>
    <font>
      <i/>
      <sz val="10"/>
      <color rgb="FF059669"/>
      <name val="Arial"/>
      <family val="2"/>
    </font>
    <font>
      <b/>
      <sz val="11"/>
      <color rgb="FF1E3A5F"/>
      <name val="Noto Sans CJK SC"/>
      <family val="2"/>
    </font>
    <font>
      <b/>
      <sz val="13"/>
      <color rgb="FF1E293B"/>
      <name val="Arial"/>
      <family val="2"/>
    </font>
    <font>
      <i/>
      <sz val="8"/>
      <color rgb="FF94A3B8"/>
      <name val="Noto Sans CJK SC"/>
      <family val="2"/>
    </font>
    <font>
      <i/>
      <sz val="8"/>
      <color rgb="FF94A3B8"/>
      <name val="Arial"/>
      <family val="2"/>
    </font>
    <font>
      <b/>
      <sz val="11"/>
      <color rgb="FF1E3A5F"/>
      <name val="Arial"/>
      <family val="2"/>
    </font>
    <font>
      <b/>
      <sz val="13"/>
      <color rgb="FF1E293B"/>
      <name val="Noto Sans CJK SC"/>
      <family val="2"/>
    </font>
    <font>
      <b/>
      <sz val="12"/>
      <color rgb="FFFFFFFF"/>
      <name val="Arial"/>
      <family val="2"/>
    </font>
    <font>
      <i/>
      <sz val="9"/>
      <color rgb="FF94A3B8"/>
      <name val="Noto Sans CJK SC"/>
      <family val="2"/>
    </font>
    <font>
      <sz val="9"/>
      <color rgb="FF475569"/>
      <name val="Noto Sans CJK SC"/>
      <family val="2"/>
    </font>
    <font>
      <b/>
      <sz val="10"/>
      <color rgb="FF2563EB"/>
      <name val="Arial"/>
      <family val="2"/>
    </font>
    <font>
      <sz val="9"/>
      <color rgb="FF1E3A5F"/>
      <name val="Noto Sans CJK SC"/>
      <family val="2"/>
    </font>
    <font>
      <sz val="9"/>
      <color rgb="FF1E3A5F"/>
      <name val="Arial"/>
      <family val="2"/>
    </font>
    <font>
      <b/>
      <sz val="14"/>
      <color rgb="FF1E3A5F"/>
      <name val="Noto Sans CJK SC"/>
      <family val="2"/>
    </font>
    <font>
      <b/>
      <sz val="14"/>
      <color rgb="FF1E3A5F"/>
      <name val="Arial"/>
      <family val="2"/>
    </font>
    <font>
      <b/>
      <sz val="10"/>
      <color rgb="FF1E3A5F"/>
      <name val="Noto Sans CJK SC"/>
      <family val="2"/>
    </font>
    <font>
      <i/>
      <sz val="8"/>
      <color rgb="FF64748B"/>
      <name val="Noto Sans CJK SC"/>
      <family val="2"/>
    </font>
    <font>
      <i/>
      <sz val="8"/>
      <color rgb="FF64748B"/>
      <name val="Arial"/>
      <family val="2"/>
    </font>
    <font>
      <b/>
      <sz val="10"/>
      <color rgb="FF0000CC"/>
      <name val="Arial"/>
      <family val="2"/>
    </font>
    <font>
      <sz val="10"/>
      <color rgb="FF0000CC"/>
      <name val="Arial"/>
      <family val="2"/>
    </font>
    <font>
      <b/>
      <sz val="10"/>
      <color rgb="FF0000CC"/>
      <name val="Noto Sans CJK SC"/>
      <family val="2"/>
    </font>
    <font>
      <sz val="10"/>
      <color rgb="FF047857"/>
      <name val="Arial"/>
      <family val="2"/>
    </font>
    <font>
      <sz val="10"/>
      <name val="Arial"/>
      <family val="2"/>
    </font>
    <font>
      <i/>
      <sz val="9"/>
      <color rgb="FF92400E"/>
      <name val="Arial"/>
      <family val="2"/>
    </font>
    <font>
      <i/>
      <sz val="9"/>
      <color rgb="FF92400E"/>
      <name val="Noto Sans CJK SC"/>
      <family val="2"/>
    </font>
    <font>
      <b/>
      <sz val="10"/>
      <color rgb="FF2563EB"/>
      <name val="Noto Sans CJK SC"/>
      <family val="2"/>
    </font>
    <font>
      <i/>
      <sz val="9"/>
      <color rgb="FF94A3B8"/>
      <name val="Arial"/>
      <family val="2"/>
    </font>
    <font>
      <sz val="11"/>
      <color theme="1"/>
      <name val="Noto Sans CJK SC"/>
      <family val="2"/>
    </font>
    <font>
      <sz val="9"/>
      <name val="細明體"/>
      <family val="3"/>
      <charset val="136"/>
    </font>
  </fonts>
  <fills count="19">
    <fill>
      <patternFill patternType="none"/>
    </fill>
    <fill>
      <patternFill patternType="gray125"/>
    </fill>
    <fill>
      <patternFill patternType="solid">
        <fgColor rgb="FF1E3A5F"/>
        <bgColor rgb="FF334155"/>
      </patternFill>
    </fill>
    <fill>
      <patternFill patternType="solid">
        <fgColor rgb="FFEFF6FF"/>
        <bgColor rgb="FFF8FAFC"/>
      </patternFill>
    </fill>
    <fill>
      <patternFill patternType="solid">
        <fgColor rgb="FF2563EB"/>
        <bgColor rgb="FF1D4ED8"/>
      </patternFill>
    </fill>
    <fill>
      <patternFill patternType="solid">
        <fgColor rgb="FFFEF9C3"/>
        <bgColor rgb="FFFEF3C7"/>
      </patternFill>
    </fill>
    <fill>
      <patternFill patternType="solid">
        <fgColor rgb="FF059669"/>
        <bgColor rgb="FF047857"/>
      </patternFill>
    </fill>
    <fill>
      <patternFill patternType="solid">
        <fgColor rgb="FFD97706"/>
        <bgColor rgb="FFDC6803"/>
      </patternFill>
    </fill>
    <fill>
      <patternFill patternType="solid">
        <fgColor rgb="FF7C3AED"/>
        <bgColor rgb="FF1D4ED8"/>
      </patternFill>
    </fill>
    <fill>
      <patternFill patternType="solid">
        <fgColor rgb="FFDBEAFE"/>
        <bgColor rgb="FFE2E8F0"/>
      </patternFill>
    </fill>
    <fill>
      <patternFill patternType="solid">
        <fgColor rgb="FFD1FAE5"/>
        <bgColor rgb="FFDBEAFE"/>
      </patternFill>
    </fill>
    <fill>
      <patternFill patternType="solid">
        <fgColor rgb="FFFEF3C7"/>
        <bgColor rgb="FFFEF9C3"/>
      </patternFill>
    </fill>
    <fill>
      <patternFill patternType="solid">
        <fgColor rgb="FFEDE9FE"/>
        <bgColor rgb="FFE2E8F0"/>
      </patternFill>
    </fill>
    <fill>
      <patternFill patternType="solid">
        <fgColor rgb="FFFFFFFF"/>
        <bgColor rgb="FFF8FAFC"/>
      </patternFill>
    </fill>
    <fill>
      <patternFill patternType="solid">
        <fgColor rgb="FFF0FFF4"/>
        <bgColor rgb="FFECFDF5"/>
      </patternFill>
    </fill>
    <fill>
      <patternFill patternType="solid">
        <fgColor rgb="FFFFFBEB"/>
        <bgColor rgb="FFF8FAFC"/>
      </patternFill>
    </fill>
    <fill>
      <patternFill patternType="solid">
        <fgColor rgb="FFFAF5FF"/>
        <bgColor rgb="FFF8FAFC"/>
      </patternFill>
    </fill>
    <fill>
      <patternFill patternType="solid">
        <fgColor rgb="FFECFDF5"/>
        <bgColor rgb="FFF0FFF4"/>
      </patternFill>
    </fill>
    <fill>
      <patternFill patternType="solid">
        <fgColor rgb="FFF8FAFC"/>
        <bgColor rgb="FFFAF5FF"/>
      </patternFill>
    </fill>
  </fills>
  <borders count="5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medium">
        <color rgb="FF2563EB"/>
      </left>
      <right/>
      <top style="thin">
        <color rgb="FFBFDBFE"/>
      </top>
      <bottom style="thin">
        <color rgb="FFBFDBFE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7" fillId="15" borderId="2" xfId="0" applyFont="1" applyFill="1" applyBorder="1" applyAlignment="1">
      <alignment horizontal="left" vertical="center"/>
    </xf>
    <xf numFmtId="0" fontId="26" fillId="14" borderId="2" xfId="0" applyFont="1" applyFill="1" applyBorder="1" applyAlignment="1">
      <alignment horizontal="left" vertical="center"/>
    </xf>
    <xf numFmtId="0" fontId="24" fillId="3" borderId="2" xfId="0" applyFont="1" applyFill="1" applyBorder="1" applyAlignment="1">
      <alignment horizontal="left" vertical="center"/>
    </xf>
    <xf numFmtId="0" fontId="22" fillId="12" borderId="1" xfId="0" applyFont="1" applyFill="1" applyBorder="1" applyAlignment="1">
      <alignment horizontal="left" vertical="center"/>
    </xf>
    <xf numFmtId="0" fontId="22" fillId="11" borderId="1" xfId="0" applyFont="1" applyFill="1" applyBorder="1" applyAlignment="1">
      <alignment horizontal="left" vertical="center"/>
    </xf>
    <xf numFmtId="0" fontId="22" fillId="10" borderId="1" xfId="0" applyFont="1" applyFill="1" applyBorder="1" applyAlignment="1">
      <alignment horizontal="left" vertical="center"/>
    </xf>
    <xf numFmtId="0" fontId="22" fillId="9" borderId="1" xfId="0" applyFont="1" applyFill="1" applyBorder="1" applyAlignment="1">
      <alignment horizontal="left" vertical="center"/>
    </xf>
    <xf numFmtId="0" fontId="15" fillId="8" borderId="2" xfId="0" applyFont="1" applyFill="1" applyBorder="1" applyAlignment="1">
      <alignment horizontal="left" vertical="center"/>
    </xf>
    <xf numFmtId="0" fontId="15" fillId="7" borderId="2" xfId="0" applyFont="1" applyFill="1" applyBorder="1" applyAlignment="1">
      <alignment horizontal="left" vertical="center"/>
    </xf>
    <xf numFmtId="0" fontId="15" fillId="6" borderId="2" xfId="0" applyFont="1" applyFill="1" applyBorder="1" applyAlignment="1">
      <alignment horizontal="left" vertical="center"/>
    </xf>
    <xf numFmtId="0" fontId="15" fillId="4" borderId="2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right" vertical="center"/>
    </xf>
    <xf numFmtId="0" fontId="12" fillId="5" borderId="1" xfId="0" applyFont="1" applyFill="1" applyBorder="1" applyAlignment="1">
      <alignment horizontal="right" vertical="center"/>
    </xf>
    <xf numFmtId="0" fontId="13" fillId="5" borderId="1" xfId="0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right" vertical="center"/>
    </xf>
    <xf numFmtId="0" fontId="14" fillId="5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right" vertical="center"/>
    </xf>
    <xf numFmtId="0" fontId="20" fillId="3" borderId="1" xfId="0" applyFont="1" applyFill="1" applyBorder="1" applyAlignment="1">
      <alignment horizontal="right" vertical="center"/>
    </xf>
    <xf numFmtId="0" fontId="16" fillId="3" borderId="1" xfId="0" applyFont="1" applyFill="1" applyBorder="1" applyAlignment="1">
      <alignment horizontal="right" vertical="center"/>
    </xf>
    <xf numFmtId="0" fontId="21" fillId="3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right" vertical="center"/>
    </xf>
    <xf numFmtId="0" fontId="20" fillId="13" borderId="1" xfId="0" applyFont="1" applyFill="1" applyBorder="1" applyAlignment="1">
      <alignment horizontal="right" vertical="center"/>
    </xf>
    <xf numFmtId="0" fontId="16" fillId="13" borderId="1" xfId="0" applyFont="1" applyFill="1" applyBorder="1" applyAlignment="1">
      <alignment horizontal="right" vertical="center"/>
    </xf>
    <xf numFmtId="0" fontId="21" fillId="13" borderId="1" xfId="0" applyFont="1" applyFill="1" applyBorder="1" applyAlignment="1">
      <alignment horizontal="center" vertical="center"/>
    </xf>
    <xf numFmtId="0" fontId="31" fillId="13" borderId="1" xfId="0" applyFont="1" applyFill="1" applyBorder="1" applyAlignment="1">
      <alignment horizontal="center" vertical="center"/>
    </xf>
    <xf numFmtId="0" fontId="44" fillId="9" borderId="3" xfId="0" applyFont="1" applyFill="1" applyBorder="1" applyAlignment="1">
      <alignment horizontal="left" vertical="center"/>
    </xf>
    <xf numFmtId="0" fontId="46" fillId="0" borderId="0" xfId="0" applyFont="1"/>
    <xf numFmtId="0" fontId="52" fillId="18" borderId="0" xfId="0" applyFont="1" applyFill="1"/>
    <xf numFmtId="0" fontId="6" fillId="2" borderId="1" xfId="0" applyFont="1" applyFill="1" applyBorder="1" applyAlignment="1">
      <alignment horizontal="center" vertical="center" wrapText="1"/>
    </xf>
    <xf numFmtId="0" fontId="61" fillId="5" borderId="1" xfId="0" applyFont="1" applyFill="1" applyBorder="1" applyAlignment="1">
      <alignment horizontal="center" vertical="center"/>
    </xf>
    <xf numFmtId="3" fontId="62" fillId="5" borderId="1" xfId="0" applyNumberFormat="1" applyFont="1" applyFill="1" applyBorder="1" applyAlignment="1">
      <alignment horizontal="right" vertical="center"/>
    </xf>
    <xf numFmtId="0" fontId="63" fillId="5" borderId="1" xfId="0" applyFont="1" applyFill="1" applyBorder="1" applyAlignment="1">
      <alignment horizontal="center" vertical="center"/>
    </xf>
    <xf numFmtId="0" fontId="64" fillId="5" borderId="1" xfId="0" applyFont="1" applyFill="1" applyBorder="1" applyAlignment="1">
      <alignment horizontal="center" vertical="center"/>
    </xf>
    <xf numFmtId="3" fontId="65" fillId="5" borderId="1" xfId="0" applyNumberFormat="1" applyFont="1" applyFill="1" applyBorder="1" applyAlignment="1">
      <alignment horizontal="right" vertical="center"/>
    </xf>
    <xf numFmtId="0" fontId="66" fillId="5" borderId="1" xfId="0" applyFont="1" applyFill="1" applyBorder="1" applyAlignment="1">
      <alignment horizontal="center" vertical="center"/>
    </xf>
    <xf numFmtId="0" fontId="66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center" vertical="center"/>
    </xf>
    <xf numFmtId="0" fontId="53" fillId="3" borderId="1" xfId="0" applyFont="1" applyFill="1" applyBorder="1" applyAlignment="1">
      <alignment horizontal="center" vertical="center"/>
    </xf>
    <xf numFmtId="176" fontId="65" fillId="3" borderId="1" xfId="0" applyNumberFormat="1" applyFont="1" applyFill="1" applyBorder="1" applyAlignment="1">
      <alignment horizontal="center" vertical="center"/>
    </xf>
    <xf numFmtId="0" fontId="61" fillId="13" borderId="1" xfId="0" applyFont="1" applyFill="1" applyBorder="1" applyAlignment="1">
      <alignment horizontal="center" vertical="center"/>
    </xf>
    <xf numFmtId="3" fontId="62" fillId="13" borderId="1" xfId="0" applyNumberFormat="1" applyFont="1" applyFill="1" applyBorder="1" applyAlignment="1">
      <alignment horizontal="right" vertical="center"/>
    </xf>
    <xf numFmtId="0" fontId="63" fillId="13" borderId="1" xfId="0" applyFont="1" applyFill="1" applyBorder="1" applyAlignment="1">
      <alignment horizontal="center" vertical="center"/>
    </xf>
    <xf numFmtId="0" fontId="64" fillId="13" borderId="1" xfId="0" applyFont="1" applyFill="1" applyBorder="1" applyAlignment="1">
      <alignment horizontal="center" vertical="center"/>
    </xf>
    <xf numFmtId="3" fontId="65" fillId="13" borderId="1" xfId="0" applyNumberFormat="1" applyFont="1" applyFill="1" applyBorder="1" applyAlignment="1">
      <alignment horizontal="right" vertical="center"/>
    </xf>
    <xf numFmtId="177" fontId="65" fillId="13" borderId="1" xfId="0" applyNumberFormat="1" applyFont="1" applyFill="1" applyBorder="1" applyAlignment="1">
      <alignment horizontal="right" vertical="center"/>
    </xf>
    <xf numFmtId="0" fontId="69" fillId="13" borderId="1" xfId="0" applyFont="1" applyFill="1" applyBorder="1" applyAlignment="1">
      <alignment horizontal="left" vertical="center"/>
    </xf>
    <xf numFmtId="0" fontId="69" fillId="13" borderId="1" xfId="0" applyFont="1" applyFill="1" applyBorder="1" applyAlignment="1">
      <alignment horizontal="center" vertical="center"/>
    </xf>
    <xf numFmtId="0" fontId="53" fillId="18" borderId="1" xfId="0" applyFont="1" applyFill="1" applyBorder="1" applyAlignment="1">
      <alignment horizontal="center" vertical="center"/>
    </xf>
    <xf numFmtId="176" fontId="65" fillId="18" borderId="1" xfId="0" applyNumberFormat="1" applyFont="1" applyFill="1" applyBorder="1" applyAlignment="1">
      <alignment horizontal="center" vertical="center"/>
    </xf>
    <xf numFmtId="0" fontId="61" fillId="3" borderId="1" xfId="0" applyFont="1" applyFill="1" applyBorder="1" applyAlignment="1">
      <alignment horizontal="center" vertical="center"/>
    </xf>
    <xf numFmtId="3" fontId="62" fillId="3" borderId="1" xfId="0" applyNumberFormat="1" applyFont="1" applyFill="1" applyBorder="1" applyAlignment="1">
      <alignment horizontal="right" vertical="center"/>
    </xf>
    <xf numFmtId="0" fontId="63" fillId="3" borderId="1" xfId="0" applyFont="1" applyFill="1" applyBorder="1" applyAlignment="1">
      <alignment horizontal="center" vertical="center"/>
    </xf>
    <xf numFmtId="0" fontId="64" fillId="3" borderId="1" xfId="0" applyFont="1" applyFill="1" applyBorder="1" applyAlignment="1">
      <alignment horizontal="center" vertical="center"/>
    </xf>
    <xf numFmtId="3" fontId="65" fillId="3" borderId="1" xfId="0" applyNumberFormat="1" applyFont="1" applyFill="1" applyBorder="1" applyAlignment="1">
      <alignment horizontal="right" vertical="center"/>
    </xf>
    <xf numFmtId="177" fontId="65" fillId="3" borderId="1" xfId="0" applyNumberFormat="1" applyFont="1" applyFill="1" applyBorder="1" applyAlignment="1">
      <alignment horizontal="right" vertical="center"/>
    </xf>
    <xf numFmtId="0" fontId="69" fillId="3" borderId="1" xfId="0" applyFont="1" applyFill="1" applyBorder="1" applyAlignment="1">
      <alignment horizontal="left" vertical="center"/>
    </xf>
    <xf numFmtId="0" fontId="69" fillId="3" borderId="1" xfId="0" applyFont="1" applyFill="1" applyBorder="1" applyAlignment="1">
      <alignment horizontal="center" vertical="center"/>
    </xf>
    <xf numFmtId="0" fontId="0" fillId="13" borderId="1" xfId="0" applyFill="1" applyBorder="1"/>
    <xf numFmtId="0" fontId="64" fillId="13" borderId="1" xfId="0" applyFont="1" applyFill="1" applyBorder="1"/>
    <xf numFmtId="3" fontId="65" fillId="13" borderId="1" xfId="0" applyNumberFormat="1" applyFont="1" applyFill="1" applyBorder="1"/>
    <xf numFmtId="177" fontId="65" fillId="13" borderId="1" xfId="0" applyNumberFormat="1" applyFont="1" applyFill="1" applyBorder="1"/>
    <xf numFmtId="0" fontId="0" fillId="3" borderId="1" xfId="0" applyFill="1" applyBorder="1"/>
    <xf numFmtId="0" fontId="64" fillId="3" borderId="1" xfId="0" applyFont="1" applyFill="1" applyBorder="1"/>
    <xf numFmtId="3" fontId="65" fillId="3" borderId="1" xfId="0" applyNumberFormat="1" applyFont="1" applyFill="1" applyBorder="1"/>
    <xf numFmtId="177" fontId="65" fillId="3" borderId="1" xfId="0" applyNumberFormat="1" applyFont="1" applyFill="1" applyBorder="1"/>
    <xf numFmtId="0" fontId="70" fillId="0" borderId="0" xfId="0" applyFont="1"/>
    <xf numFmtId="3" fontId="0" fillId="0" borderId="0" xfId="0" applyNumberFormat="1"/>
    <xf numFmtId="0" fontId="29" fillId="16" borderId="2" xfId="0" applyFont="1" applyFill="1" applyBorder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32" fillId="3" borderId="2" xfId="0" applyFont="1" applyFill="1" applyBorder="1" applyAlignment="1">
      <alignment horizontal="left" vertical="center"/>
    </xf>
    <xf numFmtId="0" fontId="33" fillId="3" borderId="2" xfId="0" applyFont="1" applyFill="1" applyBorder="1" applyAlignment="1">
      <alignment horizontal="right" vertical="center"/>
    </xf>
    <xf numFmtId="0" fontId="32" fillId="13" borderId="2" xfId="0" applyFont="1" applyFill="1" applyBorder="1" applyAlignment="1">
      <alignment horizontal="left" vertical="center"/>
    </xf>
    <xf numFmtId="0" fontId="34" fillId="13" borderId="2" xfId="0" applyFont="1" applyFill="1" applyBorder="1" applyAlignment="1">
      <alignment horizontal="right" vertical="center"/>
    </xf>
    <xf numFmtId="0" fontId="35" fillId="3" borderId="2" xfId="0" applyFont="1" applyFill="1" applyBorder="1" applyAlignment="1">
      <alignment horizontal="right" vertical="center"/>
    </xf>
    <xf numFmtId="0" fontId="37" fillId="13" borderId="2" xfId="0" applyFont="1" applyFill="1" applyBorder="1" applyAlignment="1">
      <alignment horizontal="right" vertical="center"/>
    </xf>
    <xf numFmtId="0" fontId="38" fillId="3" borderId="2" xfId="0" applyFont="1" applyFill="1" applyBorder="1" applyAlignment="1">
      <alignment horizontal="right" vertical="center"/>
    </xf>
    <xf numFmtId="0" fontId="39" fillId="13" borderId="2" xfId="0" applyFont="1" applyFill="1" applyBorder="1" applyAlignment="1">
      <alignment horizontal="right" vertical="center"/>
    </xf>
    <xf numFmtId="0" fontId="41" fillId="2" borderId="0" xfId="0" applyFont="1" applyFill="1" applyAlignment="1">
      <alignment horizontal="left" vertical="center"/>
    </xf>
    <xf numFmtId="0" fontId="42" fillId="17" borderId="0" xfId="0" applyFont="1" applyFill="1" applyAlignment="1">
      <alignment horizontal="left" vertical="center"/>
    </xf>
    <xf numFmtId="0" fontId="45" fillId="5" borderId="4" xfId="0" applyFont="1" applyFill="1" applyBorder="1" applyAlignment="1">
      <alignment horizontal="left" vertical="center"/>
    </xf>
    <xf numFmtId="0" fontId="45" fillId="3" borderId="4" xfId="0" applyFont="1" applyFill="1" applyBorder="1" applyAlignment="1">
      <alignment horizontal="left" vertical="center"/>
    </xf>
    <xf numFmtId="0" fontId="49" fillId="3" borderId="4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51" fillId="18" borderId="0" xfId="0" applyFont="1" applyFill="1" applyAlignment="1">
      <alignment horizontal="center" vertical="center"/>
    </xf>
    <xf numFmtId="0" fontId="53" fillId="18" borderId="0" xfId="0" applyFont="1" applyFill="1"/>
    <xf numFmtId="0" fontId="54" fillId="3" borderId="0" xfId="0" applyFont="1" applyFill="1" applyAlignment="1">
      <alignment horizontal="left" vertical="top" wrapText="1"/>
    </xf>
    <xf numFmtId="0" fontId="56" fillId="9" borderId="0" xfId="0" applyFont="1" applyFill="1" applyAlignment="1">
      <alignment horizontal="left" vertical="center"/>
    </xf>
    <xf numFmtId="0" fontId="58" fillId="9" borderId="0" xfId="0" applyFont="1" applyFill="1" applyAlignment="1">
      <alignment horizontal="left" vertical="center"/>
    </xf>
    <xf numFmtId="0" fontId="26" fillId="17" borderId="0" xfId="0" applyFont="1" applyFill="1" applyAlignment="1">
      <alignment horizontal="left" vertical="center"/>
    </xf>
    <xf numFmtId="0" fontId="59" fillId="3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0" fillId="0" borderId="0" xfId="0" applyFill="1"/>
    <xf numFmtId="0" fontId="15" fillId="0" borderId="2" xfId="0" applyFont="1" applyFill="1" applyBorder="1" applyAlignment="1">
      <alignment horizontal="left" vertical="center"/>
    </xf>
    <xf numFmtId="0" fontId="22" fillId="0" borderId="1" xfId="0" applyFont="1" applyFill="1" applyBorder="1" applyAlignment="1">
      <alignment horizontal="left" vertical="center"/>
    </xf>
    <xf numFmtId="0" fontId="29" fillId="0" borderId="2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BEB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D9D9D9"/>
      <rgbColor rgb="FF878787"/>
      <rgbColor rgb="FF4F81BD"/>
      <rgbColor rgb="FFB45309"/>
      <rgbColor rgb="FFFEF9C3"/>
      <rgbColor rgb="FFECFDF5"/>
      <rgbColor rgb="FF660066"/>
      <rgbColor rgb="FFD97706"/>
      <rgbColor rgb="FF1D4ED8"/>
      <rgbColor rgb="FFBFDBFE"/>
      <rgbColor rgb="FF000080"/>
      <rgbColor rgb="FFFF00FF"/>
      <rgbColor rgb="FFF0FFF4"/>
      <rgbColor rgb="FF00FFFF"/>
      <rgbColor rgb="FF800080"/>
      <rgbColor rgb="FF800000"/>
      <rgbColor rgb="FF059669"/>
      <rgbColor rgb="FF0000FF"/>
      <rgbColor rgb="FF00CCFF"/>
      <rgbColor rgb="FFDBEAFE"/>
      <rgbColor rgb="FFD1FAE5"/>
      <rgbColor rgb="FFFEF3C7"/>
      <rgbColor rgb="FF93C5FD"/>
      <rgbColor rgb="FFFAF5FF"/>
      <rgbColor rgb="FFEDE9FE"/>
      <rgbColor rgb="FFE2E8F0"/>
      <rgbColor rgb="FF2563EB"/>
      <rgbColor rgb="FF3B82F6"/>
      <rgbColor rgb="FFEFF6FF"/>
      <rgbColor rgb="FFF8FAFC"/>
      <rgbColor rgb="FFF59E0B"/>
      <rgbColor rgb="FFDC6803"/>
      <rgbColor rgb="FF64748B"/>
      <rgbColor rgb="FF94A3B8"/>
      <rgbColor rgb="FF1E3A5F"/>
      <rgbColor rgb="FF10B981"/>
      <rgbColor rgb="FF003300"/>
      <rgbColor rgb="FF475569"/>
      <rgbColor rgb="FF92400E"/>
      <rgbColor rgb="FF7C3AED"/>
      <rgbColor rgb="FF334155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zh-TW" altLang="en-US" sz="1800" b="1" strike="noStrike" spc="-1">
                <a:solidFill>
                  <a:srgbClr val="000000"/>
                </a:solidFill>
                <a:latin typeface="Calibri"/>
              </a:rPr>
              <a:t>各期電費構成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流動費用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Data!$A$1:$A$51</c15:sqref>
                  </c15:fullRef>
                </c:ext>
              </c:extLst>
              <c:f>(Data!$A$2:$A$12,Data!$A$51)</c:f>
              <c:strCache>
                <c:ptCount val="11"/>
                <c:pt idx="0">
                  <c:v>113/09</c:v>
                </c:pt>
                <c:pt idx="1">
                  <c:v>113/11</c:v>
                </c:pt>
                <c:pt idx="2">
                  <c:v>114/01</c:v>
                </c:pt>
                <c:pt idx="3">
                  <c:v>114/03</c:v>
                </c:pt>
                <c:pt idx="4">
                  <c:v>114/05</c:v>
                </c:pt>
                <c:pt idx="5">
                  <c:v>114/07</c:v>
                </c:pt>
                <c:pt idx="6">
                  <c:v>114/09</c:v>
                </c:pt>
                <c:pt idx="7">
                  <c:v>114/11</c:v>
                </c:pt>
                <c:pt idx="8">
                  <c:v>115/01</c:v>
                </c:pt>
                <c:pt idx="9">
                  <c:v>115/03</c:v>
                </c:pt>
                <c:pt idx="10">
                  <c:v>115/05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Data!$B$2:$B$51</c15:sqref>
                  </c15:fullRef>
                </c:ext>
              </c:extLst>
              <c:f>Data!$B$3:$B$13</c:f>
              <c:numCache>
                <c:formatCode>#,##0</c:formatCode>
                <c:ptCount val="11"/>
                <c:pt idx="0">
                  <c:v>740</c:v>
                </c:pt>
                <c:pt idx="1">
                  <c:v>810</c:v>
                </c:pt>
                <c:pt idx="2">
                  <c:v>885</c:v>
                </c:pt>
                <c:pt idx="3">
                  <c:v>943</c:v>
                </c:pt>
                <c:pt idx="4">
                  <c:v>925</c:v>
                </c:pt>
                <c:pt idx="5">
                  <c:v>1042</c:v>
                </c:pt>
                <c:pt idx="6">
                  <c:v>892</c:v>
                </c:pt>
                <c:pt idx="7">
                  <c:v>648</c:v>
                </c:pt>
                <c:pt idx="8">
                  <c:v>735</c:v>
                </c:pt>
                <c:pt idx="9">
                  <c:v>652</c:v>
                </c:pt>
                <c:pt idx="1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E-4B56-B902-EE90B751E11A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公共費用</c:v>
                </c:pt>
              </c:strCache>
            </c:strRef>
          </c:tx>
          <c:spPr>
            <a:solidFill>
              <a:srgbClr val="93C5F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Data!$A$1:$A$51</c15:sqref>
                  </c15:fullRef>
                </c:ext>
              </c:extLst>
              <c:f>(Data!$A$2:$A$12,Data!$A$51)</c:f>
              <c:strCache>
                <c:ptCount val="11"/>
                <c:pt idx="0">
                  <c:v>113/09</c:v>
                </c:pt>
                <c:pt idx="1">
                  <c:v>113/11</c:v>
                </c:pt>
                <c:pt idx="2">
                  <c:v>114/01</c:v>
                </c:pt>
                <c:pt idx="3">
                  <c:v>114/03</c:v>
                </c:pt>
                <c:pt idx="4">
                  <c:v>114/05</c:v>
                </c:pt>
                <c:pt idx="5">
                  <c:v>114/07</c:v>
                </c:pt>
                <c:pt idx="6">
                  <c:v>114/09</c:v>
                </c:pt>
                <c:pt idx="7">
                  <c:v>114/11</c:v>
                </c:pt>
                <c:pt idx="8">
                  <c:v>115/01</c:v>
                </c:pt>
                <c:pt idx="9">
                  <c:v>115/03</c:v>
                </c:pt>
                <c:pt idx="10">
                  <c:v>115/05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Data!$C$2:$C$51</c15:sqref>
                  </c15:fullRef>
                </c:ext>
              </c:extLst>
              <c:f>Data!$C$3:$C$13</c:f>
              <c:numCache>
                <c:formatCode>#,##0</c:formatCode>
                <c:ptCount val="11"/>
                <c:pt idx="0">
                  <c:v>1769</c:v>
                </c:pt>
                <c:pt idx="1">
                  <c:v>1481</c:v>
                </c:pt>
                <c:pt idx="2">
                  <c:v>1397</c:v>
                </c:pt>
                <c:pt idx="3">
                  <c:v>1553</c:v>
                </c:pt>
                <c:pt idx="4">
                  <c:v>1831</c:v>
                </c:pt>
                <c:pt idx="5">
                  <c:v>2451</c:v>
                </c:pt>
                <c:pt idx="6">
                  <c:v>2001</c:v>
                </c:pt>
                <c:pt idx="7">
                  <c:v>1508</c:v>
                </c:pt>
                <c:pt idx="8">
                  <c:v>1443</c:v>
                </c:pt>
                <c:pt idx="9">
                  <c:v>1543</c:v>
                </c:pt>
                <c:pt idx="1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7E-4B56-B902-EE90B751E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31988"/>
        <c:axId val="3563717"/>
      </c:barChart>
      <c:catAx>
        <c:axId val="153319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3563717"/>
        <c:crosses val="autoZero"/>
        <c:auto val="1"/>
        <c:lblAlgn val="ctr"/>
        <c:lblOffset val="100"/>
        <c:noMultiLvlLbl val="0"/>
      </c:catAx>
      <c:valAx>
        <c:axId val="35637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53319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zh-TW" altLang="en-US" sz="1800" b="1" strike="noStrike" spc="-1">
                <a:solidFill>
                  <a:srgbClr val="000000"/>
                </a:solidFill>
                <a:latin typeface="Calibri"/>
              </a:rPr>
              <a:t>流動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vs </a:t>
            </a:r>
            <a:r>
              <a:rPr lang="zh-TW" altLang="en-US" sz="1800" b="1" strike="noStrike" spc="-1">
                <a:solidFill>
                  <a:srgbClr val="000000"/>
                </a:solidFill>
                <a:latin typeface="Calibri"/>
              </a:rPr>
              <a:t>公共 佔比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C12B-44A1-BF18-2884DDDBB045}"/>
              </c:ext>
            </c:extLst>
          </c:dPt>
          <c:dPt>
            <c:idx val="1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12B-44A1-BF18-2884DDDBB045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zh-TW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12B-44A1-BF18-2884DDDBB045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zh-TW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C12B-44A1-BF18-2884DDDBB0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Data!$A$55:$A$56</c:f>
              <c:strCache>
                <c:ptCount val="2"/>
                <c:pt idx="0">
                  <c:v>流動費用</c:v>
                </c:pt>
                <c:pt idx="1">
                  <c:v>公共費用</c:v>
                </c:pt>
              </c:strCache>
            </c:strRef>
          </c:cat>
          <c:val>
            <c:numRef>
              <c:f>Data!$B$55:$B$56</c:f>
              <c:numCache>
                <c:formatCode>General</c:formatCode>
                <c:ptCount val="2"/>
                <c:pt idx="0">
                  <c:v>8272</c:v>
                </c:pt>
                <c:pt idx="1">
                  <c:v>16977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2B-44A1-BF18-2884DDDBB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zh-TW" altLang="en-US" sz="1800" b="1" strike="noStrike" spc="-1">
                <a:solidFill>
                  <a:srgbClr val="000000"/>
                </a:solidFill>
                <a:latin typeface="Calibri"/>
              </a:rPr>
              <a:t>總電費趨勢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總電費</c:v>
                </c:pt>
              </c:strCache>
            </c:strRef>
          </c:tx>
          <c:spPr>
            <a:ln w="24840">
              <a:solidFill>
                <a:srgbClr val="1D4ED8"/>
              </a:solidFill>
              <a:round/>
            </a:ln>
          </c:spPr>
          <c:marker>
            <c:symbol val="circle"/>
            <c:size val="6"/>
            <c:spPr>
              <a:solidFill>
                <a:srgbClr val="1D4ED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Data!$A$1:$A$51</c15:sqref>
                  </c15:fullRef>
                </c:ext>
              </c:extLst>
              <c:f>(Data!$A$1:$A$12,Data!$A$51)</c:f>
              <c:strCache>
                <c:ptCount val="12"/>
                <c:pt idx="0">
                  <c:v>期別</c:v>
                </c:pt>
                <c:pt idx="1">
                  <c:v>113/09</c:v>
                </c:pt>
                <c:pt idx="2">
                  <c:v>113/11</c:v>
                </c:pt>
                <c:pt idx="3">
                  <c:v>114/01</c:v>
                </c:pt>
                <c:pt idx="4">
                  <c:v>114/03</c:v>
                </c:pt>
                <c:pt idx="5">
                  <c:v>114/05</c:v>
                </c:pt>
                <c:pt idx="6">
                  <c:v>114/07</c:v>
                </c:pt>
                <c:pt idx="7">
                  <c:v>114/09</c:v>
                </c:pt>
                <c:pt idx="8">
                  <c:v>114/11</c:v>
                </c:pt>
                <c:pt idx="9">
                  <c:v>115/01</c:v>
                </c:pt>
                <c:pt idx="10">
                  <c:v>115/03</c:v>
                </c:pt>
                <c:pt idx="11">
                  <c:v>115/05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Data!$D$2:$D$51</c15:sqref>
                  </c15:fullRef>
                </c:ext>
              </c:extLst>
              <c:f>Data!$D$2:$D$13</c:f>
              <c:numCache>
                <c:formatCode>#,##0</c:formatCode>
                <c:ptCount val="12"/>
                <c:pt idx="0">
                  <c:v>80</c:v>
                </c:pt>
                <c:pt idx="1">
                  <c:v>2509</c:v>
                </c:pt>
                <c:pt idx="2">
                  <c:v>2291</c:v>
                </c:pt>
                <c:pt idx="3">
                  <c:v>2282</c:v>
                </c:pt>
                <c:pt idx="4">
                  <c:v>2496</c:v>
                </c:pt>
                <c:pt idx="5">
                  <c:v>2756</c:v>
                </c:pt>
                <c:pt idx="6">
                  <c:v>3493</c:v>
                </c:pt>
                <c:pt idx="7">
                  <c:v>2893</c:v>
                </c:pt>
                <c:pt idx="8">
                  <c:v>2156</c:v>
                </c:pt>
                <c:pt idx="9">
                  <c:v>2178</c:v>
                </c:pt>
                <c:pt idx="10">
                  <c:v>2195</c:v>
                </c:pt>
                <c:pt idx="11" formatCode="General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88F-4791-82AB-89A590013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6310342"/>
        <c:axId val="18054826"/>
      </c:lineChart>
      <c:catAx>
        <c:axId val="463103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8054826"/>
        <c:crosses val="autoZero"/>
        <c:auto val="1"/>
        <c:lblAlgn val="ctr"/>
        <c:lblOffset val="100"/>
        <c:noMultiLvlLbl val="0"/>
      </c:catAx>
      <c:valAx>
        <c:axId val="180548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463103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zh-TW" altLang="en-US" sz="1800" b="1" strike="noStrike" spc="-1">
                <a:solidFill>
                  <a:srgbClr val="000000"/>
                </a:solidFill>
                <a:latin typeface="Calibri"/>
              </a:rPr>
              <a:t>年度費用對比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Data!$B$60</c:f>
              <c:strCache>
                <c:ptCount val="1"/>
                <c:pt idx="0">
                  <c:v>流動費用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Data!$A$61:$A$63</c:f>
              <c:strCache>
                <c:ptCount val="3"/>
                <c:pt idx="0">
                  <c:v>113年</c:v>
                </c:pt>
                <c:pt idx="1">
                  <c:v>114年</c:v>
                </c:pt>
                <c:pt idx="2">
                  <c:v>115年</c:v>
                </c:pt>
              </c:strCache>
            </c:strRef>
          </c:cat>
          <c:val>
            <c:numRef>
              <c:f>Data!$B$61:$B$63</c:f>
              <c:numCache>
                <c:formatCode>General</c:formatCode>
                <c:ptCount val="3"/>
                <c:pt idx="0">
                  <c:v>740</c:v>
                </c:pt>
                <c:pt idx="1">
                  <c:v>5497</c:v>
                </c:pt>
                <c:pt idx="2">
                  <c:v>2035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3-40FD-8807-9C11DA0BA4B2}"/>
            </c:ext>
          </c:extLst>
        </c:ser>
        <c:ser>
          <c:idx val="1"/>
          <c:order val="1"/>
          <c:tx>
            <c:strRef>
              <c:f>Data!$C$60</c:f>
              <c:strCache>
                <c:ptCount val="1"/>
                <c:pt idx="0">
                  <c:v>公共費用</c:v>
                </c:pt>
              </c:strCache>
            </c:strRef>
          </c:tx>
          <c:spPr>
            <a:solidFill>
              <a:srgbClr val="F59E0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Data!$A$61:$A$63</c:f>
              <c:strCache>
                <c:ptCount val="3"/>
                <c:pt idx="0">
                  <c:v>113年</c:v>
                </c:pt>
                <c:pt idx="1">
                  <c:v>114年</c:v>
                </c:pt>
                <c:pt idx="2">
                  <c:v>115年</c:v>
                </c:pt>
              </c:strCache>
            </c:strRef>
          </c:cat>
          <c:val>
            <c:numRef>
              <c:f>Data!$C$61:$C$63</c:f>
              <c:numCache>
                <c:formatCode>General</c:formatCode>
                <c:ptCount val="3"/>
                <c:pt idx="0">
                  <c:v>1769</c:v>
                </c:pt>
                <c:pt idx="1">
                  <c:v>10714</c:v>
                </c:pt>
                <c:pt idx="2">
                  <c:v>4494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E3-40FD-8807-9C11DA0BA4B2}"/>
            </c:ext>
          </c:extLst>
        </c:ser>
        <c:ser>
          <c:idx val="2"/>
          <c:order val="2"/>
          <c:tx>
            <c:strRef>
              <c:f>Data!$D$60</c:f>
              <c:strCache>
                <c:ptCount val="1"/>
                <c:pt idx="0">
                  <c:v>總電費</c:v>
                </c:pt>
              </c:strCache>
            </c:strRef>
          </c:tx>
          <c:spPr>
            <a:solidFill>
              <a:srgbClr val="10B98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Data!$A$61:$A$63</c:f>
              <c:strCache>
                <c:ptCount val="3"/>
                <c:pt idx="0">
                  <c:v>113年</c:v>
                </c:pt>
                <c:pt idx="1">
                  <c:v>114年</c:v>
                </c:pt>
                <c:pt idx="2">
                  <c:v>115年</c:v>
                </c:pt>
              </c:strCache>
            </c:strRef>
          </c:cat>
          <c:val>
            <c:numRef>
              <c:f>Data!$D$61:$D$63</c:f>
              <c:numCache>
                <c:formatCode>General</c:formatCode>
                <c:ptCount val="3"/>
                <c:pt idx="0">
                  <c:v>2589</c:v>
                </c:pt>
                <c:pt idx="1">
                  <c:v>16211</c:v>
                </c:pt>
                <c:pt idx="2">
                  <c:v>6529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E3-40FD-8807-9C11DA0BA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26519"/>
        <c:axId val="70274955"/>
      </c:barChart>
      <c:catAx>
        <c:axId val="20226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70274955"/>
        <c:crosses val="autoZero"/>
        <c:auto val="1"/>
        <c:lblAlgn val="ctr"/>
        <c:lblOffset val="100"/>
        <c:noMultiLvlLbl val="0"/>
      </c:catAx>
      <c:valAx>
        <c:axId val="702749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202265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zh-TW" altLang="en-US" sz="1800" b="1" strike="noStrike" spc="-1">
                <a:solidFill>
                  <a:srgbClr val="000000"/>
                </a:solidFill>
                <a:latin typeface="Calibri"/>
              </a:rPr>
              <a:t>每期用電度數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度數</c:v>
                </c:pt>
              </c:strCache>
            </c:strRef>
          </c:tx>
          <c:spPr>
            <a:solidFill>
              <a:srgbClr val="10B98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Data!$A$1:$A$51</c15:sqref>
                  </c15:fullRef>
                </c:ext>
              </c:extLst>
              <c:f>(Data!$A$2:$A$12,Data!$A$51)</c:f>
              <c:strCache>
                <c:ptCount val="11"/>
                <c:pt idx="0">
                  <c:v>113/09</c:v>
                </c:pt>
                <c:pt idx="1">
                  <c:v>113/11</c:v>
                </c:pt>
                <c:pt idx="2">
                  <c:v>114/01</c:v>
                </c:pt>
                <c:pt idx="3">
                  <c:v>114/03</c:v>
                </c:pt>
                <c:pt idx="4">
                  <c:v>114/05</c:v>
                </c:pt>
                <c:pt idx="5">
                  <c:v>114/07</c:v>
                </c:pt>
                <c:pt idx="6">
                  <c:v>114/09</c:v>
                </c:pt>
                <c:pt idx="7">
                  <c:v>114/11</c:v>
                </c:pt>
                <c:pt idx="8">
                  <c:v>115/01</c:v>
                </c:pt>
                <c:pt idx="9">
                  <c:v>115/03</c:v>
                </c:pt>
                <c:pt idx="10">
                  <c:v>115/05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Data!$E$2:$E$51</c15:sqref>
                  </c15:fullRef>
                </c:ext>
              </c:extLst>
              <c:f>Data!$E$3:$E$13</c:f>
              <c:numCache>
                <c:formatCode>#,##0</c:formatCode>
                <c:ptCount val="11"/>
                <c:pt idx="0">
                  <c:v>358</c:v>
                </c:pt>
                <c:pt idx="1">
                  <c:v>381</c:v>
                </c:pt>
                <c:pt idx="2">
                  <c:v>406</c:v>
                </c:pt>
                <c:pt idx="3">
                  <c:v>425</c:v>
                </c:pt>
                <c:pt idx="4">
                  <c:v>419</c:v>
                </c:pt>
                <c:pt idx="5">
                  <c:v>418</c:v>
                </c:pt>
                <c:pt idx="6">
                  <c:v>395</c:v>
                </c:pt>
                <c:pt idx="7">
                  <c:v>312</c:v>
                </c:pt>
                <c:pt idx="8">
                  <c:v>345</c:v>
                </c:pt>
                <c:pt idx="9">
                  <c:v>314</c:v>
                </c:pt>
                <c:pt idx="1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7-4E50-A239-751470B74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762812"/>
        <c:axId val="234152"/>
      </c:barChart>
      <c:catAx>
        <c:axId val="617628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234152"/>
        <c:crosses val="autoZero"/>
        <c:auto val="1"/>
        <c:lblAlgn val="ctr"/>
        <c:lblOffset val="100"/>
        <c:noMultiLvlLbl val="0"/>
      </c:catAx>
      <c:valAx>
        <c:axId val="2341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zh-TW" altLang="en-US" sz="1000" b="1" strike="noStrike" spc="-1">
                    <a:solidFill>
                      <a:srgbClr val="000000"/>
                    </a:solidFill>
                    <a:latin typeface="Calibri"/>
                  </a:rPr>
                  <a:t>度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617628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zh-TW" altLang="en-US" sz="1800" b="1" strike="noStrike" spc="-1">
                <a:solidFill>
                  <a:srgbClr val="000000"/>
                </a:solidFill>
                <a:latin typeface="Calibri"/>
              </a:rPr>
              <a:t>流動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vs </a:t>
            </a:r>
            <a:r>
              <a:rPr lang="zh-TW" altLang="en-US" sz="1800" b="1" strike="noStrike" spc="-1">
                <a:solidFill>
                  <a:srgbClr val="000000"/>
                </a:solidFill>
                <a:latin typeface="Calibri"/>
              </a:rPr>
              <a:t>公共 逐期對比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流動費用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Data!$A$1:$A$51</c15:sqref>
                  </c15:fullRef>
                </c:ext>
              </c:extLst>
              <c:f>(Data!$A$2:$A$12,Data!$A$51)</c:f>
              <c:strCache>
                <c:ptCount val="11"/>
                <c:pt idx="0">
                  <c:v>113/09</c:v>
                </c:pt>
                <c:pt idx="1">
                  <c:v>113/11</c:v>
                </c:pt>
                <c:pt idx="2">
                  <c:v>114/01</c:v>
                </c:pt>
                <c:pt idx="3">
                  <c:v>114/03</c:v>
                </c:pt>
                <c:pt idx="4">
                  <c:v>114/05</c:v>
                </c:pt>
                <c:pt idx="5">
                  <c:v>114/07</c:v>
                </c:pt>
                <c:pt idx="6">
                  <c:v>114/09</c:v>
                </c:pt>
                <c:pt idx="7">
                  <c:v>114/11</c:v>
                </c:pt>
                <c:pt idx="8">
                  <c:v>115/01</c:v>
                </c:pt>
                <c:pt idx="9">
                  <c:v>115/03</c:v>
                </c:pt>
                <c:pt idx="10">
                  <c:v>115/05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Data!$B$2:$B$51</c15:sqref>
                  </c15:fullRef>
                </c:ext>
              </c:extLst>
              <c:f>Data!$B$3:$B$13</c:f>
              <c:numCache>
                <c:formatCode>#,##0</c:formatCode>
                <c:ptCount val="11"/>
                <c:pt idx="0">
                  <c:v>740</c:v>
                </c:pt>
                <c:pt idx="1">
                  <c:v>810</c:v>
                </c:pt>
                <c:pt idx="2">
                  <c:v>885</c:v>
                </c:pt>
                <c:pt idx="3">
                  <c:v>943</c:v>
                </c:pt>
                <c:pt idx="4">
                  <c:v>925</c:v>
                </c:pt>
                <c:pt idx="5">
                  <c:v>1042</c:v>
                </c:pt>
                <c:pt idx="6">
                  <c:v>892</c:v>
                </c:pt>
                <c:pt idx="7">
                  <c:v>648</c:v>
                </c:pt>
                <c:pt idx="8">
                  <c:v>735</c:v>
                </c:pt>
                <c:pt idx="9">
                  <c:v>652</c:v>
                </c:pt>
                <c:pt idx="1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5-42F6-A2A9-AC440D81827A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公共費用</c:v>
                </c:pt>
              </c:strCache>
            </c:strRef>
          </c:tx>
          <c:spPr>
            <a:solidFill>
              <a:srgbClr val="F59E0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Data!$A$1:$A$51</c15:sqref>
                  </c15:fullRef>
                </c:ext>
              </c:extLst>
              <c:f>(Data!$A$2:$A$12,Data!$A$51)</c:f>
              <c:strCache>
                <c:ptCount val="11"/>
                <c:pt idx="0">
                  <c:v>113/09</c:v>
                </c:pt>
                <c:pt idx="1">
                  <c:v>113/11</c:v>
                </c:pt>
                <c:pt idx="2">
                  <c:v>114/01</c:v>
                </c:pt>
                <c:pt idx="3">
                  <c:v>114/03</c:v>
                </c:pt>
                <c:pt idx="4">
                  <c:v>114/05</c:v>
                </c:pt>
                <c:pt idx="5">
                  <c:v>114/07</c:v>
                </c:pt>
                <c:pt idx="6">
                  <c:v>114/09</c:v>
                </c:pt>
                <c:pt idx="7">
                  <c:v>114/11</c:v>
                </c:pt>
                <c:pt idx="8">
                  <c:v>115/01</c:v>
                </c:pt>
                <c:pt idx="9">
                  <c:v>115/03</c:v>
                </c:pt>
                <c:pt idx="10">
                  <c:v>115/05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Data!$C$2:$C$51</c15:sqref>
                  </c15:fullRef>
                </c:ext>
              </c:extLst>
              <c:f>Data!$C$3:$C$13</c:f>
              <c:numCache>
                <c:formatCode>#,##0</c:formatCode>
                <c:ptCount val="11"/>
                <c:pt idx="0">
                  <c:v>1769</c:v>
                </c:pt>
                <c:pt idx="1">
                  <c:v>1481</c:v>
                </c:pt>
                <c:pt idx="2">
                  <c:v>1397</c:v>
                </c:pt>
                <c:pt idx="3">
                  <c:v>1553</c:v>
                </c:pt>
                <c:pt idx="4">
                  <c:v>1831</c:v>
                </c:pt>
                <c:pt idx="5">
                  <c:v>2451</c:v>
                </c:pt>
                <c:pt idx="6">
                  <c:v>2001</c:v>
                </c:pt>
                <c:pt idx="7">
                  <c:v>1508</c:v>
                </c:pt>
                <c:pt idx="8">
                  <c:v>1443</c:v>
                </c:pt>
                <c:pt idx="9">
                  <c:v>1543</c:v>
                </c:pt>
                <c:pt idx="1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35-42F6-A2A9-AC440D818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799685"/>
        <c:axId val="10018503"/>
      </c:barChart>
      <c:catAx>
        <c:axId val="737996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0018503"/>
        <c:crosses val="autoZero"/>
        <c:auto val="1"/>
        <c:lblAlgn val="ctr"/>
        <c:lblOffset val="100"/>
        <c:noMultiLvlLbl val="0"/>
      </c:catAx>
      <c:valAx>
        <c:axId val="100185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737996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7</xdr:col>
      <xdr:colOff>599040</xdr:colOff>
      <xdr:row>26</xdr:row>
      <xdr:rowOff>52560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8</xdr:row>
      <xdr:rowOff>0</xdr:rowOff>
    </xdr:from>
    <xdr:to>
      <xdr:col>15</xdr:col>
      <xdr:colOff>599040</xdr:colOff>
      <xdr:row>26</xdr:row>
      <xdr:rowOff>52560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31</xdr:row>
      <xdr:rowOff>0</xdr:rowOff>
    </xdr:from>
    <xdr:to>
      <xdr:col>7</xdr:col>
      <xdr:colOff>599040</xdr:colOff>
      <xdr:row>51</xdr:row>
      <xdr:rowOff>149760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31</xdr:row>
      <xdr:rowOff>0</xdr:rowOff>
    </xdr:from>
    <xdr:to>
      <xdr:col>15</xdr:col>
      <xdr:colOff>599040</xdr:colOff>
      <xdr:row>51</xdr:row>
      <xdr:rowOff>149760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52</xdr:row>
      <xdr:rowOff>123825</xdr:rowOff>
    </xdr:from>
    <xdr:to>
      <xdr:col>7</xdr:col>
      <xdr:colOff>599040</xdr:colOff>
      <xdr:row>73</xdr:row>
      <xdr:rowOff>83085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590550</xdr:colOff>
      <xdr:row>52</xdr:row>
      <xdr:rowOff>114300</xdr:rowOff>
    </xdr:from>
    <xdr:to>
      <xdr:col>15</xdr:col>
      <xdr:colOff>589515</xdr:colOff>
      <xdr:row>73</xdr:row>
      <xdr:rowOff>73560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563EB"/>
  </sheetPr>
  <dimension ref="A1:X79"/>
  <sheetViews>
    <sheetView showGridLines="0" tabSelected="1" zoomScaleNormal="100" workbookViewId="0">
      <selection activeCell="S29" sqref="S29"/>
    </sheetView>
  </sheetViews>
  <sheetFormatPr defaultColWidth="8.7109375" defaultRowHeight="15"/>
  <cols>
    <col min="1" max="17" width="9" customWidth="1"/>
    <col min="18" max="18" width="11" customWidth="1"/>
    <col min="19" max="19" width="8" customWidth="1"/>
    <col min="20" max="20" width="9" customWidth="1"/>
    <col min="21" max="23" width="11" customWidth="1"/>
    <col min="24" max="24" width="8" customWidth="1"/>
  </cols>
  <sheetData>
    <row r="1" spans="1:24" ht="43.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  <c r="R1" s="13" t="s">
        <v>1</v>
      </c>
      <c r="S1" s="13"/>
      <c r="T1" s="13"/>
      <c r="U1" s="13"/>
      <c r="V1" s="13"/>
      <c r="W1" s="13"/>
      <c r="X1" s="13"/>
    </row>
    <row r="2" spans="1:24" ht="21.75" customHeight="1">
      <c r="A2" s="12" t="s">
        <v>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02"/>
      <c r="R2" s="16" t="s">
        <v>3</v>
      </c>
      <c r="S2" s="16" t="s">
        <v>4</v>
      </c>
      <c r="T2" s="16" t="s">
        <v>5</v>
      </c>
      <c r="U2" s="16" t="s">
        <v>6</v>
      </c>
      <c r="V2" s="16" t="s">
        <v>7</v>
      </c>
      <c r="W2" s="16" t="s">
        <v>8</v>
      </c>
      <c r="X2" s="16" t="s">
        <v>9</v>
      </c>
    </row>
    <row r="3" spans="1:24" ht="18.75" customHeight="1">
      <c r="Q3" s="103"/>
      <c r="R3" s="17" t="s">
        <v>10</v>
      </c>
      <c r="S3" s="18" t="s">
        <v>11</v>
      </c>
      <c r="T3" s="19" t="s">
        <v>12</v>
      </c>
      <c r="U3" s="20" t="s">
        <v>13</v>
      </c>
      <c r="V3" s="21" t="s">
        <v>14</v>
      </c>
      <c r="W3" s="22" t="s">
        <v>15</v>
      </c>
      <c r="X3" s="23" t="s">
        <v>16</v>
      </c>
    </row>
    <row r="4" spans="1:24" ht="18.75" customHeight="1">
      <c r="A4" s="11" t="s">
        <v>17</v>
      </c>
      <c r="B4" s="11"/>
      <c r="C4" s="11"/>
      <c r="D4" s="11"/>
      <c r="E4" s="10" t="s">
        <v>18</v>
      </c>
      <c r="F4" s="10"/>
      <c r="G4" s="10"/>
      <c r="H4" s="10"/>
      <c r="I4" s="9" t="s">
        <v>19</v>
      </c>
      <c r="J4" s="9"/>
      <c r="K4" s="9"/>
      <c r="L4" s="9"/>
      <c r="M4" s="8" t="s">
        <v>20</v>
      </c>
      <c r="N4" s="8"/>
      <c r="O4" s="8"/>
      <c r="P4" s="8"/>
      <c r="Q4" s="104"/>
      <c r="R4" s="24" t="s">
        <v>21</v>
      </c>
      <c r="S4" s="25" t="s">
        <v>22</v>
      </c>
      <c r="T4" s="26" t="s">
        <v>23</v>
      </c>
      <c r="U4" s="27" t="s">
        <v>24</v>
      </c>
      <c r="V4" s="26" t="s">
        <v>25</v>
      </c>
      <c r="W4" s="28" t="s">
        <v>26</v>
      </c>
      <c r="X4" s="29" t="s">
        <v>27</v>
      </c>
    </row>
    <row r="5" spans="1:24" ht="18.75" customHeight="1">
      <c r="A5" s="7" t="s">
        <v>28</v>
      </c>
      <c r="B5" s="7"/>
      <c r="C5" s="7"/>
      <c r="D5" s="7"/>
      <c r="E5" s="6" t="s">
        <v>29</v>
      </c>
      <c r="F5" s="6"/>
      <c r="G5" s="6"/>
      <c r="H5" s="6"/>
      <c r="I5" s="5" t="s">
        <v>30</v>
      </c>
      <c r="J5" s="5"/>
      <c r="K5" s="5"/>
      <c r="L5" s="5"/>
      <c r="M5" s="4" t="s">
        <v>31</v>
      </c>
      <c r="N5" s="4"/>
      <c r="O5" s="4"/>
      <c r="P5" s="4"/>
      <c r="Q5" s="105"/>
      <c r="R5" s="30" t="s">
        <v>32</v>
      </c>
      <c r="S5" s="31" t="s">
        <v>22</v>
      </c>
      <c r="T5" s="32" t="s">
        <v>33</v>
      </c>
      <c r="U5" s="33" t="s">
        <v>34</v>
      </c>
      <c r="V5" s="32" t="s">
        <v>35</v>
      </c>
      <c r="W5" s="34" t="s">
        <v>36</v>
      </c>
      <c r="X5" s="35" t="s">
        <v>37</v>
      </c>
    </row>
    <row r="6" spans="1:24" ht="18.75" customHeight="1">
      <c r="A6" s="7"/>
      <c r="B6" s="7"/>
      <c r="C6" s="7"/>
      <c r="D6" s="7"/>
      <c r="E6" s="6"/>
      <c r="F6" s="6"/>
      <c r="G6" s="6"/>
      <c r="H6" s="6"/>
      <c r="I6" s="5"/>
      <c r="J6" s="5"/>
      <c r="K6" s="5"/>
      <c r="L6" s="5"/>
      <c r="M6" s="4"/>
      <c r="N6" s="4"/>
      <c r="O6" s="4"/>
      <c r="P6" s="4"/>
      <c r="Q6" s="105"/>
      <c r="R6" s="24" t="s">
        <v>38</v>
      </c>
      <c r="S6" s="25" t="s">
        <v>22</v>
      </c>
      <c r="T6" s="26" t="s">
        <v>39</v>
      </c>
      <c r="U6" s="27" t="s">
        <v>40</v>
      </c>
      <c r="V6" s="26" t="s">
        <v>41</v>
      </c>
      <c r="W6" s="28" t="s">
        <v>42</v>
      </c>
      <c r="X6" s="29" t="s">
        <v>43</v>
      </c>
    </row>
    <row r="7" spans="1:24" ht="18.75" customHeight="1">
      <c r="A7" s="3" t="s">
        <v>44</v>
      </c>
      <c r="B7" s="3"/>
      <c r="C7" s="3"/>
      <c r="D7" s="3"/>
      <c r="E7" s="2" t="s">
        <v>45</v>
      </c>
      <c r="F7" s="2"/>
      <c r="G7" s="2"/>
      <c r="H7" s="2"/>
      <c r="I7" s="1" t="s">
        <v>46</v>
      </c>
      <c r="J7" s="1"/>
      <c r="K7" s="1"/>
      <c r="L7" s="1"/>
      <c r="M7" s="79" t="s">
        <v>47</v>
      </c>
      <c r="N7" s="79"/>
      <c r="O7" s="79"/>
      <c r="P7" s="79"/>
      <c r="Q7" s="106"/>
      <c r="R7" s="30" t="s">
        <v>48</v>
      </c>
      <c r="S7" s="31" t="s">
        <v>22</v>
      </c>
      <c r="T7" s="32" t="s">
        <v>49</v>
      </c>
      <c r="U7" s="33" t="s">
        <v>50</v>
      </c>
      <c r="V7" s="32" t="s">
        <v>51</v>
      </c>
      <c r="W7" s="34" t="s">
        <v>52</v>
      </c>
      <c r="X7" s="35" t="s">
        <v>53</v>
      </c>
    </row>
    <row r="8" spans="1:24" ht="18.75" customHeight="1">
      <c r="R8" s="24" t="s">
        <v>54</v>
      </c>
      <c r="S8" s="25" t="s">
        <v>22</v>
      </c>
      <c r="T8" s="26" t="s">
        <v>55</v>
      </c>
      <c r="U8" s="27" t="s">
        <v>56</v>
      </c>
      <c r="V8" s="26" t="s">
        <v>57</v>
      </c>
      <c r="W8" s="28" t="s">
        <v>58</v>
      </c>
      <c r="X8" s="29" t="s">
        <v>59</v>
      </c>
    </row>
    <row r="9" spans="1:24" ht="18.75" customHeight="1">
      <c r="R9" s="30" t="s">
        <v>60</v>
      </c>
      <c r="S9" s="36" t="s">
        <v>11</v>
      </c>
      <c r="T9" s="32" t="s">
        <v>61</v>
      </c>
      <c r="U9" s="33" t="s">
        <v>62</v>
      </c>
      <c r="V9" s="32" t="s">
        <v>63</v>
      </c>
      <c r="W9" s="34" t="s">
        <v>64</v>
      </c>
      <c r="X9" s="35" t="s">
        <v>65</v>
      </c>
    </row>
    <row r="10" spans="1:24" ht="18.75" customHeight="1">
      <c r="R10" s="24" t="s">
        <v>66</v>
      </c>
      <c r="S10" s="25" t="s">
        <v>22</v>
      </c>
      <c r="T10" s="26" t="s">
        <v>67</v>
      </c>
      <c r="U10" s="27" t="s">
        <v>68</v>
      </c>
      <c r="V10" s="26" t="s">
        <v>69</v>
      </c>
      <c r="W10" s="28" t="s">
        <v>70</v>
      </c>
      <c r="X10" s="29" t="s">
        <v>27</v>
      </c>
    </row>
    <row r="11" spans="1:24" ht="18.75" customHeight="1">
      <c r="R11" s="30" t="s">
        <v>71</v>
      </c>
      <c r="S11" s="31" t="s">
        <v>22</v>
      </c>
      <c r="T11" s="32" t="s">
        <v>72</v>
      </c>
      <c r="U11" s="33" t="s">
        <v>73</v>
      </c>
      <c r="V11" s="32" t="s">
        <v>74</v>
      </c>
      <c r="W11" s="34" t="s">
        <v>75</v>
      </c>
      <c r="X11" s="35" t="s">
        <v>76</v>
      </c>
    </row>
    <row r="12" spans="1:24" ht="18.75" customHeight="1">
      <c r="R12" s="24" t="s">
        <v>77</v>
      </c>
      <c r="S12" s="25" t="s">
        <v>22</v>
      </c>
      <c r="T12" s="26" t="s">
        <v>78</v>
      </c>
      <c r="U12" s="27" t="s">
        <v>79</v>
      </c>
      <c r="V12" s="26" t="s">
        <v>80</v>
      </c>
      <c r="W12" s="28" t="s">
        <v>81</v>
      </c>
      <c r="X12" s="29" t="s">
        <v>82</v>
      </c>
    </row>
    <row r="13" spans="1:24" ht="18.75" customHeight="1">
      <c r="R13" s="30" t="s">
        <v>83</v>
      </c>
      <c r="S13" s="31" t="s">
        <v>22</v>
      </c>
      <c r="T13" s="32" t="s">
        <v>84</v>
      </c>
      <c r="U13" s="33" t="s">
        <v>85</v>
      </c>
      <c r="V13" s="32" t="s">
        <v>86</v>
      </c>
      <c r="W13" s="34" t="s">
        <v>87</v>
      </c>
      <c r="X13" s="35" t="s">
        <v>88</v>
      </c>
    </row>
    <row r="14" spans="1:24" ht="15" customHeight="1"/>
    <row r="15" spans="1:24" ht="21.75" customHeight="1">
      <c r="R15" s="80" t="s">
        <v>89</v>
      </c>
      <c r="S15" s="80"/>
      <c r="T15" s="80"/>
      <c r="U15" s="80"/>
      <c r="V15" s="80"/>
      <c r="W15" s="80"/>
      <c r="X15" s="80"/>
    </row>
    <row r="16" spans="1:24" ht="21.75" customHeight="1">
      <c r="R16" s="81" t="s">
        <v>90</v>
      </c>
      <c r="S16" s="81"/>
      <c r="T16" s="81"/>
      <c r="U16" s="81"/>
      <c r="V16" s="82" t="s">
        <v>28</v>
      </c>
      <c r="W16" s="82"/>
      <c r="X16" s="82"/>
    </row>
    <row r="17" spans="18:24" ht="21.75" customHeight="1">
      <c r="R17" s="83" t="s">
        <v>6</v>
      </c>
      <c r="S17" s="83"/>
      <c r="T17" s="83"/>
      <c r="U17" s="83"/>
      <c r="V17" s="84" t="s">
        <v>29</v>
      </c>
      <c r="W17" s="84"/>
      <c r="X17" s="84"/>
    </row>
    <row r="18" spans="18:24" ht="21.75" customHeight="1">
      <c r="R18" s="81" t="s">
        <v>7</v>
      </c>
      <c r="S18" s="81"/>
      <c r="T18" s="81"/>
      <c r="U18" s="81"/>
      <c r="V18" s="85" t="s">
        <v>30</v>
      </c>
      <c r="W18" s="85"/>
      <c r="X18" s="85"/>
    </row>
    <row r="19" spans="18:24" ht="21.75" customHeight="1">
      <c r="R19" s="83" t="s">
        <v>91</v>
      </c>
      <c r="S19" s="83"/>
      <c r="T19" s="83"/>
      <c r="U19" s="83"/>
      <c r="V19" s="86" t="s">
        <v>92</v>
      </c>
      <c r="W19" s="86"/>
      <c r="X19" s="86"/>
    </row>
    <row r="20" spans="18:24" ht="21.75" customHeight="1">
      <c r="R20" s="81" t="s">
        <v>93</v>
      </c>
      <c r="S20" s="81"/>
      <c r="T20" s="81"/>
      <c r="U20" s="81"/>
      <c r="V20" s="87" t="s">
        <v>94</v>
      </c>
      <c r="W20" s="87"/>
      <c r="X20" s="87"/>
    </row>
    <row r="21" spans="18:24" ht="21.75" customHeight="1">
      <c r="R21" s="83" t="s">
        <v>95</v>
      </c>
      <c r="S21" s="83"/>
      <c r="T21" s="83"/>
      <c r="U21" s="83"/>
      <c r="V21" s="88" t="s">
        <v>96</v>
      </c>
      <c r="W21" s="88"/>
      <c r="X21" s="88"/>
    </row>
    <row r="22" spans="18:24" ht="15" customHeight="1"/>
    <row r="23" spans="18:24" ht="15" customHeight="1"/>
    <row r="24" spans="18:24" ht="15" customHeight="1"/>
    <row r="25" spans="18:24" ht="15" customHeight="1"/>
    <row r="26" spans="18:24" ht="15" customHeight="1"/>
    <row r="27" spans="18:24" ht="15" customHeight="1"/>
    <row r="28" spans="18:24" ht="15" customHeight="1"/>
    <row r="29" spans="18:24" ht="15" customHeight="1"/>
    <row r="30" spans="18:24" ht="15" customHeight="1"/>
    <row r="31" spans="18:24" ht="15" customHeight="1"/>
    <row r="32" spans="18:24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</sheetData>
  <mergeCells count="28">
    <mergeCell ref="R21:U21"/>
    <mergeCell ref="V21:X21"/>
    <mergeCell ref="R18:U18"/>
    <mergeCell ref="V18:X18"/>
    <mergeCell ref="R19:U19"/>
    <mergeCell ref="V19:X19"/>
    <mergeCell ref="R20:U20"/>
    <mergeCell ref="V20:X20"/>
    <mergeCell ref="R15:X15"/>
    <mergeCell ref="R16:U16"/>
    <mergeCell ref="V16:X16"/>
    <mergeCell ref="R17:U17"/>
    <mergeCell ref="V17:X17"/>
    <mergeCell ref="A5:D6"/>
    <mergeCell ref="E5:H6"/>
    <mergeCell ref="I5:L6"/>
    <mergeCell ref="M5:P6"/>
    <mergeCell ref="A7:D7"/>
    <mergeCell ref="E7:H7"/>
    <mergeCell ref="I7:L7"/>
    <mergeCell ref="M7:P7"/>
    <mergeCell ref="A1:P1"/>
    <mergeCell ref="R1:X1"/>
    <mergeCell ref="A2:P2"/>
    <mergeCell ref="A4:D4"/>
    <mergeCell ref="E4:H4"/>
    <mergeCell ref="I4:L4"/>
    <mergeCell ref="M4:P4"/>
  </mergeCells>
  <phoneticPr fontId="71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59669"/>
  </sheetPr>
  <dimension ref="B1:D29"/>
  <sheetViews>
    <sheetView showGridLines="0" zoomScaleNormal="100" workbookViewId="0"/>
  </sheetViews>
  <sheetFormatPr defaultColWidth="8.7109375" defaultRowHeight="15"/>
  <cols>
    <col min="1" max="1" width="2" customWidth="1"/>
    <col min="2" max="2" width="20" customWidth="1"/>
    <col min="3" max="3" width="22" customWidth="1"/>
    <col min="4" max="4" width="18" customWidth="1"/>
    <col min="5" max="5" width="2" customWidth="1"/>
  </cols>
  <sheetData>
    <row r="1" spans="2:4" ht="42" customHeight="1">
      <c r="B1" s="89" t="s">
        <v>97</v>
      </c>
      <c r="C1" s="89"/>
      <c r="D1" s="89"/>
    </row>
    <row r="2" spans="2:4" ht="21.75" customHeight="1">
      <c r="B2" s="90" t="s">
        <v>98</v>
      </c>
      <c r="C2" s="90"/>
      <c r="D2" s="90"/>
    </row>
    <row r="3" spans="2:4" ht="21.75" customHeight="1"/>
    <row r="4" spans="2:4" ht="27.75" customHeight="1">
      <c r="B4" s="37" t="s">
        <v>3</v>
      </c>
      <c r="C4" s="91"/>
      <c r="D4" s="91"/>
    </row>
    <row r="5" spans="2:4" ht="21.75" customHeight="1">
      <c r="C5" s="38" t="s">
        <v>99</v>
      </c>
    </row>
    <row r="6" spans="2:4" ht="27.75" customHeight="1">
      <c r="B6" s="37" t="s">
        <v>100</v>
      </c>
      <c r="C6" s="92"/>
      <c r="D6" s="92"/>
    </row>
    <row r="7" spans="2:4" ht="21.75" customHeight="1">
      <c r="C7" s="38" t="s">
        <v>101</v>
      </c>
    </row>
    <row r="8" spans="2:4" ht="27.75" customHeight="1">
      <c r="B8" s="37" t="s">
        <v>102</v>
      </c>
      <c r="C8" s="92"/>
      <c r="D8" s="92"/>
    </row>
    <row r="9" spans="2:4" ht="21.75" customHeight="1">
      <c r="C9" s="38" t="s">
        <v>103</v>
      </c>
    </row>
    <row r="10" spans="2:4" ht="27.75" customHeight="1">
      <c r="B10" s="37" t="s">
        <v>4</v>
      </c>
      <c r="C10" s="93" t="s">
        <v>22</v>
      </c>
      <c r="D10" s="93"/>
    </row>
    <row r="11" spans="2:4" ht="21.75" customHeight="1">
      <c r="C11" s="38" t="s">
        <v>104</v>
      </c>
    </row>
    <row r="12" spans="2:4" ht="21.75" customHeight="1"/>
    <row r="13" spans="2:4" ht="27.75" customHeight="1">
      <c r="B13" s="94" t="s">
        <v>105</v>
      </c>
      <c r="C13" s="94"/>
      <c r="D13" s="94"/>
    </row>
    <row r="14" spans="2:4" ht="27.75" customHeight="1">
      <c r="B14" s="94"/>
      <c r="C14" s="94"/>
      <c r="D14" s="94"/>
    </row>
    <row r="15" spans="2:4" ht="21.75" customHeight="1"/>
    <row r="16" spans="2:4" ht="21.75" customHeight="1">
      <c r="B16" s="95" t="s">
        <v>106</v>
      </c>
      <c r="C16" s="95"/>
      <c r="D16" s="95"/>
    </row>
    <row r="17" spans="2:4" ht="21.75" customHeight="1">
      <c r="B17" s="39" t="s">
        <v>107</v>
      </c>
      <c r="C17" s="96"/>
      <c r="D17" s="96"/>
    </row>
    <row r="18" spans="2:4" ht="21.75" customHeight="1">
      <c r="B18" s="39" t="s">
        <v>108</v>
      </c>
      <c r="C18" s="96"/>
      <c r="D18" s="96"/>
    </row>
    <row r="19" spans="2:4" ht="21.75" customHeight="1">
      <c r="B19" s="39" t="s">
        <v>109</v>
      </c>
      <c r="C19" s="96"/>
      <c r="D19" s="96"/>
    </row>
    <row r="20" spans="2:4" ht="21.75" customHeight="1">
      <c r="B20" s="39" t="s">
        <v>110</v>
      </c>
      <c r="C20" s="96"/>
      <c r="D20" s="96"/>
    </row>
    <row r="21" spans="2:4" ht="21.75" customHeight="1"/>
    <row r="22" spans="2:4" ht="18" customHeight="1">
      <c r="B22" s="97" t="s">
        <v>111</v>
      </c>
      <c r="C22" s="97"/>
      <c r="D22" s="97"/>
    </row>
    <row r="23" spans="2:4" ht="18" customHeight="1">
      <c r="B23" s="97"/>
      <c r="C23" s="97"/>
      <c r="D23" s="97"/>
    </row>
    <row r="24" spans="2:4" ht="18" customHeight="1">
      <c r="B24" s="97"/>
      <c r="C24" s="97"/>
      <c r="D24" s="97"/>
    </row>
    <row r="25" spans="2:4" ht="18" customHeight="1">
      <c r="B25" s="97"/>
      <c r="C25" s="97"/>
      <c r="D25" s="97"/>
    </row>
    <row r="26" spans="2:4" ht="21.75" customHeight="1"/>
    <row r="27" spans="2:4" ht="21.75" customHeight="1"/>
    <row r="28" spans="2:4" ht="21.75" customHeight="1"/>
    <row r="29" spans="2:4" ht="21.75" customHeight="1"/>
  </sheetData>
  <mergeCells count="13">
    <mergeCell ref="C19:D19"/>
    <mergeCell ref="C20:D20"/>
    <mergeCell ref="B22:D25"/>
    <mergeCell ref="C10:D10"/>
    <mergeCell ref="B13:D14"/>
    <mergeCell ref="B16:D16"/>
    <mergeCell ref="C17:D17"/>
    <mergeCell ref="C18:D18"/>
    <mergeCell ref="B1:D1"/>
    <mergeCell ref="B2:D2"/>
    <mergeCell ref="C4:D4"/>
    <mergeCell ref="C6:D6"/>
    <mergeCell ref="C8:D8"/>
  </mergeCells>
  <phoneticPr fontId="71" type="noConversion"/>
  <dataValidations count="1">
    <dataValidation type="list" sqref="C10" xr:uid="{00000000-0002-0000-0100-000000000000}">
      <formula1>"夏季,非夏季"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0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2" width="12" customWidth="1"/>
    <col min="3" max="3" width="14" customWidth="1"/>
    <col min="4" max="4" width="8" customWidth="1"/>
    <col min="5" max="5" width="10" customWidth="1"/>
    <col min="6" max="7" width="14" customWidth="1"/>
    <col min="8" max="8" width="10" customWidth="1"/>
    <col min="9" max="9" width="30" customWidth="1"/>
    <col min="10" max="10" width="8" customWidth="1"/>
    <col min="11" max="11" width="6" customWidth="1"/>
    <col min="12" max="12" width="3" customWidth="1"/>
    <col min="13" max="19" width="10" customWidth="1"/>
  </cols>
  <sheetData>
    <row r="1" spans="1:19" ht="33.75" customHeight="1">
      <c r="A1" s="98" t="s">
        <v>112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9" t="s">
        <v>113</v>
      </c>
      <c r="N1" s="99"/>
      <c r="O1" s="99"/>
      <c r="P1" s="99"/>
      <c r="Q1" s="99"/>
      <c r="R1" s="99"/>
      <c r="S1" s="99"/>
    </row>
    <row r="2" spans="1:19" ht="18" customHeight="1">
      <c r="A2" s="100" t="s">
        <v>114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 t="s">
        <v>115</v>
      </c>
      <c r="N2" s="101"/>
      <c r="O2" s="101"/>
      <c r="P2" s="101"/>
      <c r="Q2" s="101"/>
      <c r="R2" s="101"/>
      <c r="S2" s="101"/>
    </row>
    <row r="3" spans="1:19" ht="27.75" customHeight="1">
      <c r="A3" s="16" t="s">
        <v>3</v>
      </c>
      <c r="B3" s="16" t="s">
        <v>100</v>
      </c>
      <c r="C3" s="16" t="s">
        <v>116</v>
      </c>
      <c r="D3" s="16" t="s">
        <v>4</v>
      </c>
      <c r="E3" s="16" t="s">
        <v>107</v>
      </c>
      <c r="F3" s="16" t="s">
        <v>117</v>
      </c>
      <c r="G3" s="16" t="s">
        <v>118</v>
      </c>
      <c r="H3" s="16" t="s">
        <v>9</v>
      </c>
      <c r="I3" s="16" t="s">
        <v>119</v>
      </c>
      <c r="J3" s="16" t="s">
        <v>120</v>
      </c>
      <c r="K3" s="16" t="s">
        <v>121</v>
      </c>
      <c r="L3" s="16"/>
      <c r="M3" s="40" t="s">
        <v>122</v>
      </c>
      <c r="N3" s="40" t="s">
        <v>123</v>
      </c>
      <c r="O3" s="40" t="s">
        <v>124</v>
      </c>
      <c r="P3" s="40" t="s">
        <v>125</v>
      </c>
      <c r="Q3" s="40" t="s">
        <v>126</v>
      </c>
      <c r="R3" s="40" t="s">
        <v>127</v>
      </c>
      <c r="S3" s="40" t="s">
        <v>128</v>
      </c>
    </row>
    <row r="4" spans="1:19" ht="19.5" customHeight="1">
      <c r="A4" s="41" t="s">
        <v>10</v>
      </c>
      <c r="B4" s="42">
        <v>312</v>
      </c>
      <c r="C4" s="42">
        <v>80</v>
      </c>
      <c r="D4" s="43" t="s">
        <v>11</v>
      </c>
      <c r="E4" s="44" t="str">
        <f t="shared" ref="E4:E20" si="0">IF(A4="","",IF(OR(VALUE(LEFT(A4,3))&gt;114,AND(VALUE(LEFT(A4,3))=114,VALUE(MID(A4,5,2))&gt;=10)),"B","A"))</f>
        <v>A</v>
      </c>
      <c r="F4" s="45">
        <f t="shared" ref="F4:F20" si="1">IF(OR(B4="",D4=""),"",ROUND(MIN(B4,120)*INDEX($N$4:$S$7,MATCH(E4&amp;D4,$M$4:$M$7,0),1)+MAX(MIN(B4,330)-120,0)*INDEX($N$4:$S$7,MATCH(E4&amp;D4,$M$4:$M$7,0),2)+MAX(MIN(B4,500)-330,0)*INDEX($N$4:$S$7,MATCH(E4&amp;D4,$M$4:$M$7,0),3)+MAX(MIN(B4,700)-500,0)*INDEX($N$4:$S$7,MATCH(E4&amp;D4,$M$4:$M$7,0),4)+MAX(MIN(B4,999)-700,0)*INDEX($N$4:$S$7,MATCH(E4&amp;D4,$M$4:$M$7,0),5)+MAX(B4-999,0)*INDEX($N$4:$S$7,MATCH(E4&amp;D4,$M$4:$M$7,0),6),0))</f>
        <v>672</v>
      </c>
      <c r="G4" s="46" t="s">
        <v>129</v>
      </c>
      <c r="H4" s="46" t="s">
        <v>16</v>
      </c>
      <c r="I4" s="47" t="s">
        <v>130</v>
      </c>
      <c r="J4" s="44" t="str">
        <f t="shared" ref="J4:J20" si="2">IF(A4="","",LEFT(A4,3)&amp;IF(VALUE(MID(A4,5,2))&lt;=6,"上","下"))</f>
        <v>113下</v>
      </c>
      <c r="K4" s="44" t="str">
        <f t="shared" ref="K4:K20" si="3">IF(A4="","",LEFT(A4,3))</f>
        <v>113</v>
      </c>
      <c r="L4" s="48" t="s">
        <v>131</v>
      </c>
      <c r="M4" s="49" t="s">
        <v>132</v>
      </c>
      <c r="N4" s="50">
        <v>1.68</v>
      </c>
      <c r="O4" s="50">
        <v>2.4500000000000002</v>
      </c>
      <c r="P4" s="50">
        <v>3.7</v>
      </c>
      <c r="Q4" s="50">
        <v>5.04</v>
      </c>
      <c r="R4" s="50">
        <v>6.24</v>
      </c>
      <c r="S4" s="50">
        <v>8.4600000000000009</v>
      </c>
    </row>
    <row r="5" spans="1:19" ht="19.5" customHeight="1">
      <c r="A5" s="51" t="s">
        <v>21</v>
      </c>
      <c r="B5" s="52">
        <v>358</v>
      </c>
      <c r="C5" s="52">
        <v>2509</v>
      </c>
      <c r="D5" s="53" t="s">
        <v>22</v>
      </c>
      <c r="E5" s="54" t="str">
        <f t="shared" si="0"/>
        <v>A</v>
      </c>
      <c r="F5" s="55">
        <f t="shared" si="1"/>
        <v>740</v>
      </c>
      <c r="G5" s="55">
        <f t="shared" ref="G5:G20" si="4">IF(OR(C5="",F5=""),"",C5-F5)</f>
        <v>1769</v>
      </c>
      <c r="H5" s="56">
        <f t="shared" ref="H5:H20" si="5">IF(OR(C5=0,F5=""),"",F5/C5)</f>
        <v>0.29493822239936229</v>
      </c>
      <c r="I5" s="57"/>
      <c r="J5" s="54" t="str">
        <f t="shared" si="2"/>
        <v>113下</v>
      </c>
      <c r="K5" s="54" t="str">
        <f t="shared" si="3"/>
        <v>113</v>
      </c>
      <c r="L5" s="58"/>
      <c r="M5" s="59" t="s">
        <v>133</v>
      </c>
      <c r="N5" s="60">
        <v>1.68</v>
      </c>
      <c r="O5" s="60">
        <v>2.16</v>
      </c>
      <c r="P5" s="60">
        <v>3.03</v>
      </c>
      <c r="Q5" s="60">
        <v>4.1399999999999997</v>
      </c>
      <c r="R5" s="60">
        <v>5.07</v>
      </c>
      <c r="S5" s="60">
        <v>6.63</v>
      </c>
    </row>
    <row r="6" spans="1:19" ht="19.5" customHeight="1">
      <c r="A6" s="61" t="s">
        <v>32</v>
      </c>
      <c r="B6" s="62">
        <v>381</v>
      </c>
      <c r="C6" s="62">
        <v>2291</v>
      </c>
      <c r="D6" s="63" t="s">
        <v>22</v>
      </c>
      <c r="E6" s="64" t="str">
        <f t="shared" si="0"/>
        <v>A</v>
      </c>
      <c r="F6" s="65">
        <f t="shared" si="1"/>
        <v>810</v>
      </c>
      <c r="G6" s="65">
        <f t="shared" si="4"/>
        <v>1481</v>
      </c>
      <c r="H6" s="66">
        <f t="shared" si="5"/>
        <v>0.35355739851593193</v>
      </c>
      <c r="I6" s="67"/>
      <c r="J6" s="64" t="str">
        <f t="shared" si="2"/>
        <v>114上</v>
      </c>
      <c r="K6" s="64" t="str">
        <f t="shared" si="3"/>
        <v>114</v>
      </c>
      <c r="L6" s="68"/>
      <c r="M6" s="49" t="s">
        <v>134</v>
      </c>
      <c r="N6" s="50">
        <v>1.78</v>
      </c>
      <c r="O6" s="50">
        <v>2.5499999999999998</v>
      </c>
      <c r="P6" s="50">
        <v>3.8</v>
      </c>
      <c r="Q6" s="50">
        <v>5.14</v>
      </c>
      <c r="R6" s="50">
        <v>6.44</v>
      </c>
      <c r="S6" s="50">
        <v>8.86</v>
      </c>
    </row>
    <row r="7" spans="1:19" ht="19.5" customHeight="1">
      <c r="A7" s="51" t="s">
        <v>38</v>
      </c>
      <c r="B7" s="52">
        <v>406</v>
      </c>
      <c r="C7" s="52">
        <v>2282</v>
      </c>
      <c r="D7" s="53" t="s">
        <v>22</v>
      </c>
      <c r="E7" s="54" t="str">
        <f t="shared" si="0"/>
        <v>A</v>
      </c>
      <c r="F7" s="55">
        <f t="shared" si="1"/>
        <v>885</v>
      </c>
      <c r="G7" s="55">
        <f t="shared" si="4"/>
        <v>1397</v>
      </c>
      <c r="H7" s="56">
        <f t="shared" si="5"/>
        <v>0.38781770376862401</v>
      </c>
      <c r="I7" s="57"/>
      <c r="J7" s="54" t="str">
        <f t="shared" si="2"/>
        <v>114上</v>
      </c>
      <c r="K7" s="54" t="str">
        <f t="shared" si="3"/>
        <v>114</v>
      </c>
      <c r="L7" s="58"/>
      <c r="M7" s="59" t="s">
        <v>135</v>
      </c>
      <c r="N7" s="60">
        <v>1.78</v>
      </c>
      <c r="O7" s="60">
        <v>2.2599999999999998</v>
      </c>
      <c r="P7" s="60">
        <v>3.13</v>
      </c>
      <c r="Q7" s="60">
        <v>4.24</v>
      </c>
      <c r="R7" s="60">
        <v>5.27</v>
      </c>
      <c r="S7" s="60">
        <v>7.03</v>
      </c>
    </row>
    <row r="8" spans="1:19" ht="19.5" customHeight="1">
      <c r="A8" s="61" t="s">
        <v>48</v>
      </c>
      <c r="B8" s="62">
        <v>425</v>
      </c>
      <c r="C8" s="62">
        <v>2496</v>
      </c>
      <c r="D8" s="63" t="s">
        <v>22</v>
      </c>
      <c r="E8" s="64" t="str">
        <f t="shared" si="0"/>
        <v>A</v>
      </c>
      <c r="F8" s="65">
        <f t="shared" si="1"/>
        <v>943</v>
      </c>
      <c r="G8" s="65">
        <f t="shared" si="4"/>
        <v>1553</v>
      </c>
      <c r="H8" s="66">
        <f t="shared" si="5"/>
        <v>0.37780448717948717</v>
      </c>
      <c r="I8" s="67"/>
      <c r="J8" s="64" t="str">
        <f t="shared" si="2"/>
        <v>114上</v>
      </c>
      <c r="K8" s="64" t="str">
        <f t="shared" si="3"/>
        <v>114</v>
      </c>
      <c r="L8" s="68"/>
    </row>
    <row r="9" spans="1:19" ht="19.5" customHeight="1">
      <c r="A9" s="51" t="s">
        <v>54</v>
      </c>
      <c r="B9" s="52">
        <v>419</v>
      </c>
      <c r="C9" s="52">
        <v>2756</v>
      </c>
      <c r="D9" s="53" t="s">
        <v>22</v>
      </c>
      <c r="E9" s="54" t="str">
        <f t="shared" si="0"/>
        <v>A</v>
      </c>
      <c r="F9" s="55">
        <f t="shared" si="1"/>
        <v>925</v>
      </c>
      <c r="G9" s="55">
        <f t="shared" si="4"/>
        <v>1831</v>
      </c>
      <c r="H9" s="56">
        <f t="shared" si="5"/>
        <v>0.3356313497822932</v>
      </c>
      <c r="I9" s="57"/>
      <c r="J9" s="54" t="str">
        <f t="shared" si="2"/>
        <v>114下</v>
      </c>
      <c r="K9" s="54" t="str">
        <f t="shared" si="3"/>
        <v>114</v>
      </c>
      <c r="L9" s="58"/>
    </row>
    <row r="10" spans="1:19" ht="19.5" customHeight="1">
      <c r="A10" s="61" t="s">
        <v>60</v>
      </c>
      <c r="B10" s="62">
        <v>418</v>
      </c>
      <c r="C10" s="62">
        <v>3493</v>
      </c>
      <c r="D10" s="63" t="s">
        <v>11</v>
      </c>
      <c r="E10" s="64" t="str">
        <f t="shared" si="0"/>
        <v>A</v>
      </c>
      <c r="F10" s="65">
        <f t="shared" si="1"/>
        <v>1042</v>
      </c>
      <c r="G10" s="65">
        <f t="shared" si="4"/>
        <v>2451</v>
      </c>
      <c r="H10" s="66">
        <f t="shared" si="5"/>
        <v>0.29831090752934442</v>
      </c>
      <c r="I10" s="67"/>
      <c r="J10" s="64" t="str">
        <f t="shared" si="2"/>
        <v>114下</v>
      </c>
      <c r="K10" s="64" t="str">
        <f t="shared" si="3"/>
        <v>114</v>
      </c>
      <c r="L10" s="68"/>
    </row>
    <row r="11" spans="1:19" ht="19.5" customHeight="1">
      <c r="A11" s="51" t="s">
        <v>66</v>
      </c>
      <c r="B11" s="52">
        <v>395</v>
      </c>
      <c r="C11" s="52">
        <v>2893</v>
      </c>
      <c r="D11" s="53" t="s">
        <v>22</v>
      </c>
      <c r="E11" s="54" t="str">
        <f t="shared" si="0"/>
        <v>B</v>
      </c>
      <c r="F11" s="55">
        <f t="shared" si="1"/>
        <v>892</v>
      </c>
      <c r="G11" s="55">
        <f t="shared" si="4"/>
        <v>2001</v>
      </c>
      <c r="H11" s="56">
        <f t="shared" si="5"/>
        <v>0.30833045281714483</v>
      </c>
      <c r="I11" s="57"/>
      <c r="J11" s="54" t="str">
        <f t="shared" si="2"/>
        <v>114下</v>
      </c>
      <c r="K11" s="54" t="str">
        <f t="shared" si="3"/>
        <v>114</v>
      </c>
      <c r="L11" s="58"/>
    </row>
    <row r="12" spans="1:19" ht="19.5" customHeight="1">
      <c r="A12" s="61" t="s">
        <v>71</v>
      </c>
      <c r="B12" s="62">
        <v>312</v>
      </c>
      <c r="C12" s="62">
        <v>2156</v>
      </c>
      <c r="D12" s="63" t="s">
        <v>22</v>
      </c>
      <c r="E12" s="64" t="str">
        <f t="shared" si="0"/>
        <v>B</v>
      </c>
      <c r="F12" s="65">
        <f t="shared" si="1"/>
        <v>648</v>
      </c>
      <c r="G12" s="65">
        <f t="shared" si="4"/>
        <v>1508</v>
      </c>
      <c r="H12" s="66">
        <f t="shared" si="5"/>
        <v>0.30055658627087201</v>
      </c>
      <c r="I12" s="67"/>
      <c r="J12" s="64" t="str">
        <f t="shared" si="2"/>
        <v>115上</v>
      </c>
      <c r="K12" s="64" t="str">
        <f t="shared" si="3"/>
        <v>115</v>
      </c>
      <c r="L12" s="68"/>
    </row>
    <row r="13" spans="1:19" ht="19.5" customHeight="1">
      <c r="A13" s="51" t="s">
        <v>77</v>
      </c>
      <c r="B13" s="52">
        <v>345</v>
      </c>
      <c r="C13" s="52">
        <v>2178</v>
      </c>
      <c r="D13" s="53" t="s">
        <v>22</v>
      </c>
      <c r="E13" s="54" t="str">
        <f t="shared" si="0"/>
        <v>B</v>
      </c>
      <c r="F13" s="55">
        <f t="shared" si="1"/>
        <v>735</v>
      </c>
      <c r="G13" s="55">
        <f t="shared" si="4"/>
        <v>1443</v>
      </c>
      <c r="H13" s="56">
        <f t="shared" si="5"/>
        <v>0.33746556473829203</v>
      </c>
      <c r="I13" s="57"/>
      <c r="J13" s="54" t="str">
        <f t="shared" si="2"/>
        <v>115上</v>
      </c>
      <c r="K13" s="54" t="str">
        <f t="shared" si="3"/>
        <v>115</v>
      </c>
      <c r="L13" s="58"/>
    </row>
    <row r="14" spans="1:19" ht="19.5" customHeight="1">
      <c r="A14" s="61" t="s">
        <v>83</v>
      </c>
      <c r="B14" s="62">
        <v>314</v>
      </c>
      <c r="C14" s="62">
        <v>2195</v>
      </c>
      <c r="D14" s="63" t="s">
        <v>22</v>
      </c>
      <c r="E14" s="64" t="str">
        <f t="shared" si="0"/>
        <v>B</v>
      </c>
      <c r="F14" s="65">
        <f t="shared" si="1"/>
        <v>652</v>
      </c>
      <c r="G14" s="65">
        <f t="shared" si="4"/>
        <v>1543</v>
      </c>
      <c r="H14" s="66">
        <f t="shared" si="5"/>
        <v>0.29703872437357631</v>
      </c>
      <c r="I14" s="67"/>
      <c r="J14" s="64" t="str">
        <f t="shared" si="2"/>
        <v>115上</v>
      </c>
      <c r="K14" s="64" t="str">
        <f t="shared" si="3"/>
        <v>115</v>
      </c>
      <c r="L14" s="68"/>
    </row>
    <row r="15" spans="1:19" ht="19.5" customHeight="1">
      <c r="A15" s="69"/>
      <c r="B15" s="69"/>
      <c r="C15" s="69"/>
      <c r="D15" s="69"/>
      <c r="E15" s="70" t="str">
        <f t="shared" si="0"/>
        <v/>
      </c>
      <c r="F15" s="71" t="str">
        <f t="shared" si="1"/>
        <v/>
      </c>
      <c r="G15" s="71" t="str">
        <f t="shared" si="4"/>
        <v/>
      </c>
      <c r="H15" s="72" t="str">
        <f t="shared" si="5"/>
        <v/>
      </c>
      <c r="I15" s="69"/>
      <c r="J15" s="70" t="str">
        <f t="shared" si="2"/>
        <v/>
      </c>
      <c r="K15" s="70" t="str">
        <f t="shared" si="3"/>
        <v/>
      </c>
      <c r="L15" s="69"/>
    </row>
    <row r="16" spans="1:19" ht="19.5" customHeight="1">
      <c r="A16" s="73"/>
      <c r="B16" s="73"/>
      <c r="C16" s="73"/>
      <c r="D16" s="73"/>
      <c r="E16" s="74" t="str">
        <f t="shared" si="0"/>
        <v/>
      </c>
      <c r="F16" s="75" t="str">
        <f t="shared" si="1"/>
        <v/>
      </c>
      <c r="G16" s="75" t="str">
        <f t="shared" si="4"/>
        <v/>
      </c>
      <c r="H16" s="76" t="str">
        <f t="shared" si="5"/>
        <v/>
      </c>
      <c r="I16" s="73"/>
      <c r="J16" s="74" t="str">
        <f t="shared" si="2"/>
        <v/>
      </c>
      <c r="K16" s="74" t="str">
        <f t="shared" si="3"/>
        <v/>
      </c>
      <c r="L16" s="73"/>
    </row>
    <row r="17" spans="1:12" ht="19.5" customHeight="1">
      <c r="A17" s="69"/>
      <c r="B17" s="69"/>
      <c r="C17" s="69"/>
      <c r="D17" s="69"/>
      <c r="E17" s="70" t="str">
        <f t="shared" si="0"/>
        <v/>
      </c>
      <c r="F17" s="71" t="str">
        <f t="shared" si="1"/>
        <v/>
      </c>
      <c r="G17" s="71" t="str">
        <f t="shared" si="4"/>
        <v/>
      </c>
      <c r="H17" s="72" t="str">
        <f t="shared" si="5"/>
        <v/>
      </c>
      <c r="I17" s="69"/>
      <c r="J17" s="70" t="str">
        <f t="shared" si="2"/>
        <v/>
      </c>
      <c r="K17" s="70" t="str">
        <f t="shared" si="3"/>
        <v/>
      </c>
      <c r="L17" s="69"/>
    </row>
    <row r="18" spans="1:12" ht="19.5" customHeight="1">
      <c r="A18" s="73"/>
      <c r="B18" s="73"/>
      <c r="C18" s="73"/>
      <c r="D18" s="73"/>
      <c r="E18" s="74" t="str">
        <f t="shared" si="0"/>
        <v/>
      </c>
      <c r="F18" s="75" t="str">
        <f t="shared" si="1"/>
        <v/>
      </c>
      <c r="G18" s="75" t="str">
        <f t="shared" si="4"/>
        <v/>
      </c>
      <c r="H18" s="76" t="str">
        <f t="shared" si="5"/>
        <v/>
      </c>
      <c r="I18" s="73"/>
      <c r="J18" s="74" t="str">
        <f t="shared" si="2"/>
        <v/>
      </c>
      <c r="K18" s="74" t="str">
        <f t="shared" si="3"/>
        <v/>
      </c>
      <c r="L18" s="73"/>
    </row>
    <row r="19" spans="1:12" ht="19.5" customHeight="1">
      <c r="A19" s="69"/>
      <c r="B19" s="69"/>
      <c r="C19" s="69"/>
      <c r="D19" s="69"/>
      <c r="E19" s="70" t="str">
        <f t="shared" si="0"/>
        <v/>
      </c>
      <c r="F19" s="71" t="str">
        <f t="shared" si="1"/>
        <v/>
      </c>
      <c r="G19" s="71" t="str">
        <f t="shared" si="4"/>
        <v/>
      </c>
      <c r="H19" s="72" t="str">
        <f t="shared" si="5"/>
        <v/>
      </c>
      <c r="I19" s="69"/>
      <c r="J19" s="70" t="str">
        <f t="shared" si="2"/>
        <v/>
      </c>
      <c r="K19" s="70" t="str">
        <f t="shared" si="3"/>
        <v/>
      </c>
      <c r="L19" s="69"/>
    </row>
    <row r="20" spans="1:12" ht="19.5" customHeight="1">
      <c r="A20" s="73"/>
      <c r="B20" s="73"/>
      <c r="C20" s="73"/>
      <c r="D20" s="73"/>
      <c r="E20" s="74" t="str">
        <f t="shared" si="0"/>
        <v/>
      </c>
      <c r="F20" s="75" t="str">
        <f t="shared" si="1"/>
        <v/>
      </c>
      <c r="G20" s="75" t="str">
        <f t="shared" si="4"/>
        <v/>
      </c>
      <c r="H20" s="76" t="str">
        <f t="shared" si="5"/>
        <v/>
      </c>
      <c r="I20" s="73"/>
      <c r="J20" s="74" t="str">
        <f t="shared" si="2"/>
        <v/>
      </c>
      <c r="K20" s="74" t="str">
        <f t="shared" si="3"/>
        <v/>
      </c>
      <c r="L20" s="73"/>
    </row>
  </sheetData>
  <mergeCells count="4">
    <mergeCell ref="A1:L1"/>
    <mergeCell ref="M1:S1"/>
    <mergeCell ref="A2:L2"/>
    <mergeCell ref="M2:S2"/>
  </mergeCells>
  <phoneticPr fontId="71" type="noConversion"/>
  <dataValidations count="2">
    <dataValidation type="list" sqref="D4:D60" xr:uid="{00000000-0002-0000-0200-000000000000}">
      <formula1>"夏季,非夏季"</formula1>
      <formula2>0</formula2>
    </dataValidation>
    <dataValidation type="list" allowBlank="1" sqref="E4:E60" xr:uid="{00000000-0002-0000-0200-000001000000}">
      <formula1>"A,B"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3"/>
  <sheetViews>
    <sheetView zoomScaleNormal="100" workbookViewId="0"/>
  </sheetViews>
  <sheetFormatPr defaultColWidth="8.7109375" defaultRowHeight="15"/>
  <sheetData>
    <row r="1" spans="1:5">
      <c r="A1" s="77" t="s">
        <v>136</v>
      </c>
      <c r="B1" s="77" t="s">
        <v>6</v>
      </c>
      <c r="C1" s="77" t="s">
        <v>7</v>
      </c>
      <c r="D1" s="77" t="s">
        <v>8</v>
      </c>
      <c r="E1" s="77" t="s">
        <v>5</v>
      </c>
    </row>
    <row r="2" spans="1:5">
      <c r="A2" t="str">
        <f>IF('Raw Data'!A4="","",IFERROR('Raw Data'!A4,""))</f>
        <v>113/09</v>
      </c>
      <c r="B2">
        <f>IF(OR('Raw Data'!A4="",NOT(ISNUMBER('Raw Data'!G4))),0,IFERROR('Raw Data'!F4,0))</f>
        <v>0</v>
      </c>
      <c r="C2">
        <f>IF(OR('Raw Data'!A4="",NOT(ISNUMBER('Raw Data'!G4))),0,IFERROR('Raw Data'!G4,0))</f>
        <v>0</v>
      </c>
      <c r="D2" s="78">
        <f>IF('Raw Data'!A4="",0,IFERROR('Raw Data'!C4,0))</f>
        <v>80</v>
      </c>
      <c r="E2" s="78">
        <f>IF('Raw Data'!A4="",0,IFERROR('Raw Data'!B4,0))</f>
        <v>312</v>
      </c>
    </row>
    <row r="3" spans="1:5">
      <c r="A3" t="str">
        <f>IF('Raw Data'!A5="","",IFERROR('Raw Data'!A5,""))</f>
        <v>113/11</v>
      </c>
      <c r="B3" s="78">
        <f>IF(OR('Raw Data'!A5="",NOT(ISNUMBER('Raw Data'!G5))),0,IFERROR('Raw Data'!F5,0))</f>
        <v>740</v>
      </c>
      <c r="C3" s="78">
        <f>IF(OR('Raw Data'!A5="",NOT(ISNUMBER('Raw Data'!G5))),0,IFERROR('Raw Data'!G5,0))</f>
        <v>1769</v>
      </c>
      <c r="D3" s="78">
        <f>IF('Raw Data'!A5="",0,IFERROR('Raw Data'!C5,0))</f>
        <v>2509</v>
      </c>
      <c r="E3" s="78">
        <f>IF('Raw Data'!A5="",0,IFERROR('Raw Data'!B5,0))</f>
        <v>358</v>
      </c>
    </row>
    <row r="4" spans="1:5">
      <c r="A4" t="str">
        <f>IF('Raw Data'!A6="","",IFERROR('Raw Data'!A6,""))</f>
        <v>114/01</v>
      </c>
      <c r="B4" s="78">
        <f>IF(OR('Raw Data'!A6="",NOT(ISNUMBER('Raw Data'!G6))),0,IFERROR('Raw Data'!F6,0))</f>
        <v>810</v>
      </c>
      <c r="C4" s="78">
        <f>IF(OR('Raw Data'!A6="",NOT(ISNUMBER('Raw Data'!G6))),0,IFERROR('Raw Data'!G6,0))</f>
        <v>1481</v>
      </c>
      <c r="D4" s="78">
        <f>IF('Raw Data'!A6="",0,IFERROR('Raw Data'!C6,0))</f>
        <v>2291</v>
      </c>
      <c r="E4" s="78">
        <f>IF('Raw Data'!A6="",0,IFERROR('Raw Data'!B6,0))</f>
        <v>381</v>
      </c>
    </row>
    <row r="5" spans="1:5">
      <c r="A5" t="str">
        <f>IF('Raw Data'!A7="","",IFERROR('Raw Data'!A7,""))</f>
        <v>114/03</v>
      </c>
      <c r="B5" s="78">
        <f>IF(OR('Raw Data'!A7="",NOT(ISNUMBER('Raw Data'!G7))),0,IFERROR('Raw Data'!F7,0))</f>
        <v>885</v>
      </c>
      <c r="C5" s="78">
        <f>IF(OR('Raw Data'!A7="",NOT(ISNUMBER('Raw Data'!G7))),0,IFERROR('Raw Data'!G7,0))</f>
        <v>1397</v>
      </c>
      <c r="D5" s="78">
        <f>IF('Raw Data'!A7="",0,IFERROR('Raw Data'!C7,0))</f>
        <v>2282</v>
      </c>
      <c r="E5" s="78">
        <f>IF('Raw Data'!A7="",0,IFERROR('Raw Data'!B7,0))</f>
        <v>406</v>
      </c>
    </row>
    <row r="6" spans="1:5">
      <c r="A6" t="str">
        <f>IF('Raw Data'!A8="","",IFERROR('Raw Data'!A8,""))</f>
        <v>114/05</v>
      </c>
      <c r="B6" s="78">
        <f>IF(OR('Raw Data'!A8="",NOT(ISNUMBER('Raw Data'!G8))),0,IFERROR('Raw Data'!F8,0))</f>
        <v>943</v>
      </c>
      <c r="C6" s="78">
        <f>IF(OR('Raw Data'!A8="",NOT(ISNUMBER('Raw Data'!G8))),0,IFERROR('Raw Data'!G8,0))</f>
        <v>1553</v>
      </c>
      <c r="D6" s="78">
        <f>IF('Raw Data'!A8="",0,IFERROR('Raw Data'!C8,0))</f>
        <v>2496</v>
      </c>
      <c r="E6" s="78">
        <f>IF('Raw Data'!A8="",0,IFERROR('Raw Data'!B8,0))</f>
        <v>425</v>
      </c>
    </row>
    <row r="7" spans="1:5">
      <c r="A7" t="str">
        <f>IF('Raw Data'!A9="","",IFERROR('Raw Data'!A9,""))</f>
        <v>114/07</v>
      </c>
      <c r="B7" s="78">
        <f>IF(OR('Raw Data'!A9="",NOT(ISNUMBER('Raw Data'!G9))),0,IFERROR('Raw Data'!F9,0))</f>
        <v>925</v>
      </c>
      <c r="C7" s="78">
        <f>IF(OR('Raw Data'!A9="",NOT(ISNUMBER('Raw Data'!G9))),0,IFERROR('Raw Data'!G9,0))</f>
        <v>1831</v>
      </c>
      <c r="D7" s="78">
        <f>IF('Raw Data'!A9="",0,IFERROR('Raw Data'!C9,0))</f>
        <v>2756</v>
      </c>
      <c r="E7" s="78">
        <f>IF('Raw Data'!A9="",0,IFERROR('Raw Data'!B9,0))</f>
        <v>419</v>
      </c>
    </row>
    <row r="8" spans="1:5">
      <c r="A8" t="str">
        <f>IF('Raw Data'!A10="","",IFERROR('Raw Data'!A10,""))</f>
        <v>114/09</v>
      </c>
      <c r="B8" s="78">
        <f>IF(OR('Raw Data'!A10="",NOT(ISNUMBER('Raw Data'!G10))),0,IFERROR('Raw Data'!F10,0))</f>
        <v>1042</v>
      </c>
      <c r="C8" s="78">
        <f>IF(OR('Raw Data'!A10="",NOT(ISNUMBER('Raw Data'!G10))),0,IFERROR('Raw Data'!G10,0))</f>
        <v>2451</v>
      </c>
      <c r="D8" s="78">
        <f>IF('Raw Data'!A10="",0,IFERROR('Raw Data'!C10,0))</f>
        <v>3493</v>
      </c>
      <c r="E8" s="78">
        <f>IF('Raw Data'!A10="",0,IFERROR('Raw Data'!B10,0))</f>
        <v>418</v>
      </c>
    </row>
    <row r="9" spans="1:5">
      <c r="A9" t="str">
        <f>IF('Raw Data'!A11="","",IFERROR('Raw Data'!A11,""))</f>
        <v>114/11</v>
      </c>
      <c r="B9" s="78">
        <f>IF(OR('Raw Data'!A11="",NOT(ISNUMBER('Raw Data'!G11))),0,IFERROR('Raw Data'!F11,0))</f>
        <v>892</v>
      </c>
      <c r="C9" s="78">
        <f>IF(OR('Raw Data'!A11="",NOT(ISNUMBER('Raw Data'!G11))),0,IFERROR('Raw Data'!G11,0))</f>
        <v>2001</v>
      </c>
      <c r="D9" s="78">
        <f>IF('Raw Data'!A11="",0,IFERROR('Raw Data'!C11,0))</f>
        <v>2893</v>
      </c>
      <c r="E9" s="78">
        <f>IF('Raw Data'!A11="",0,IFERROR('Raw Data'!B11,0))</f>
        <v>395</v>
      </c>
    </row>
    <row r="10" spans="1:5">
      <c r="A10" t="str">
        <f>IF('Raw Data'!A12="","",IFERROR('Raw Data'!A12,""))</f>
        <v>115/01</v>
      </c>
      <c r="B10" s="78">
        <f>IF(OR('Raw Data'!A12="",NOT(ISNUMBER('Raw Data'!G12))),0,IFERROR('Raw Data'!F12,0))</f>
        <v>648</v>
      </c>
      <c r="C10" s="78">
        <f>IF(OR('Raw Data'!A12="",NOT(ISNUMBER('Raw Data'!G12))),0,IFERROR('Raw Data'!G12,0))</f>
        <v>1508</v>
      </c>
      <c r="D10" s="78">
        <f>IF('Raw Data'!A12="",0,IFERROR('Raw Data'!C12,0))</f>
        <v>2156</v>
      </c>
      <c r="E10" s="78">
        <f>IF('Raw Data'!A12="",0,IFERROR('Raw Data'!B12,0))</f>
        <v>312</v>
      </c>
    </row>
    <row r="11" spans="1:5">
      <c r="A11" t="str">
        <f>IF('Raw Data'!A13="","",IFERROR('Raw Data'!A13,""))</f>
        <v>115/03</v>
      </c>
      <c r="B11" s="78">
        <f>IF(OR('Raw Data'!A13="",NOT(ISNUMBER('Raw Data'!G13))),0,IFERROR('Raw Data'!F13,0))</f>
        <v>735</v>
      </c>
      <c r="C11" s="78">
        <f>IF(OR('Raw Data'!A13="",NOT(ISNUMBER('Raw Data'!G13))),0,IFERROR('Raw Data'!G13,0))</f>
        <v>1443</v>
      </c>
      <c r="D11" s="78">
        <f>IF('Raw Data'!A13="",0,IFERROR('Raw Data'!C13,0))</f>
        <v>2178</v>
      </c>
      <c r="E11" s="78">
        <f>IF('Raw Data'!A13="",0,IFERROR('Raw Data'!B13,0))</f>
        <v>345</v>
      </c>
    </row>
    <row r="12" spans="1:5">
      <c r="A12" t="str">
        <f>IF('Raw Data'!A14="","",IFERROR('Raw Data'!A14,""))</f>
        <v>115/05</v>
      </c>
      <c r="B12" s="78">
        <f>IF(OR('Raw Data'!A14="",NOT(ISNUMBER('Raw Data'!G14))),0,IFERROR('Raw Data'!F14,0))</f>
        <v>652</v>
      </c>
      <c r="C12" s="78">
        <f>IF(OR('Raw Data'!A14="",NOT(ISNUMBER('Raw Data'!G14))),0,IFERROR('Raw Data'!G14,0))</f>
        <v>1543</v>
      </c>
      <c r="D12" s="78">
        <f>IF('Raw Data'!A14="",0,IFERROR('Raw Data'!C14,0))</f>
        <v>2195</v>
      </c>
      <c r="E12" s="78">
        <f>IF('Raw Data'!A14="",0,IFERROR('Raw Data'!B14,0))</f>
        <v>314</v>
      </c>
    </row>
    <row r="13" spans="1:5">
      <c r="A13" t="str">
        <f>IF('Raw Data'!A15="","",IFERROR('Raw Data'!A15,""))</f>
        <v/>
      </c>
      <c r="B13">
        <f>IF(OR('Raw Data'!A15="",NOT(ISNUMBER('Raw Data'!G15))),0,IFERROR('Raw Data'!F15,0))</f>
        <v>0</v>
      </c>
      <c r="C13">
        <f>IF(OR('Raw Data'!A15="",NOT(ISNUMBER('Raw Data'!G15))),0,IFERROR('Raw Data'!G15,0))</f>
        <v>0</v>
      </c>
      <c r="D13">
        <f>IF('Raw Data'!A15="",0,IFERROR('Raw Data'!C15,0))</f>
        <v>0</v>
      </c>
      <c r="E13">
        <f>IF('Raw Data'!A15="",0,IFERROR('Raw Data'!B15,0))</f>
        <v>0</v>
      </c>
    </row>
    <row r="14" spans="1:5">
      <c r="A14" t="str">
        <f>IF('Raw Data'!A16="","",IFERROR('Raw Data'!A16,""))</f>
        <v/>
      </c>
      <c r="B14">
        <f>IF(OR('Raw Data'!A16="",NOT(ISNUMBER('Raw Data'!G16))),0,IFERROR('Raw Data'!F16,0))</f>
        <v>0</v>
      </c>
      <c r="C14">
        <f>IF(OR('Raw Data'!A16="",NOT(ISNUMBER('Raw Data'!G16))),0,IFERROR('Raw Data'!G16,0))</f>
        <v>0</v>
      </c>
      <c r="D14">
        <f>IF('Raw Data'!A16="",0,IFERROR('Raw Data'!C16,0))</f>
        <v>0</v>
      </c>
      <c r="E14">
        <f>IF('Raw Data'!A16="",0,IFERROR('Raw Data'!B16,0))</f>
        <v>0</v>
      </c>
    </row>
    <row r="15" spans="1:5">
      <c r="A15" t="str">
        <f>IF('Raw Data'!A17="","",IFERROR('Raw Data'!A17,""))</f>
        <v/>
      </c>
      <c r="B15">
        <f>IF(OR('Raw Data'!A17="",NOT(ISNUMBER('Raw Data'!G17))),0,IFERROR('Raw Data'!F17,0))</f>
        <v>0</v>
      </c>
      <c r="C15">
        <f>IF(OR('Raw Data'!A17="",NOT(ISNUMBER('Raw Data'!G17))),0,IFERROR('Raw Data'!G17,0))</f>
        <v>0</v>
      </c>
      <c r="D15">
        <f>IF('Raw Data'!A17="",0,IFERROR('Raw Data'!C17,0))</f>
        <v>0</v>
      </c>
      <c r="E15">
        <f>IF('Raw Data'!A17="",0,IFERROR('Raw Data'!B17,0))</f>
        <v>0</v>
      </c>
    </row>
    <row r="16" spans="1:5">
      <c r="A16" t="str">
        <f>IF('Raw Data'!A18="","",IFERROR('Raw Data'!A18,""))</f>
        <v/>
      </c>
      <c r="B16">
        <f>IF(OR('Raw Data'!A18="",NOT(ISNUMBER('Raw Data'!G18))),0,IFERROR('Raw Data'!F18,0))</f>
        <v>0</v>
      </c>
      <c r="C16">
        <f>IF(OR('Raw Data'!A18="",NOT(ISNUMBER('Raw Data'!G18))),0,IFERROR('Raw Data'!G18,0))</f>
        <v>0</v>
      </c>
      <c r="D16">
        <f>IF('Raw Data'!A18="",0,IFERROR('Raw Data'!C18,0))</f>
        <v>0</v>
      </c>
      <c r="E16">
        <f>IF('Raw Data'!A18="",0,IFERROR('Raw Data'!B18,0))</f>
        <v>0</v>
      </c>
    </row>
    <row r="17" spans="1:5">
      <c r="A17" t="str">
        <f>IF('Raw Data'!A19="","",IFERROR('Raw Data'!A19,""))</f>
        <v/>
      </c>
      <c r="B17">
        <f>IF(OR('Raw Data'!A19="",NOT(ISNUMBER('Raw Data'!G19))),0,IFERROR('Raw Data'!F19,0))</f>
        <v>0</v>
      </c>
      <c r="C17">
        <f>IF(OR('Raw Data'!A19="",NOT(ISNUMBER('Raw Data'!G19))),0,IFERROR('Raw Data'!G19,0))</f>
        <v>0</v>
      </c>
      <c r="D17">
        <f>IF('Raw Data'!A19="",0,IFERROR('Raw Data'!C19,0))</f>
        <v>0</v>
      </c>
      <c r="E17">
        <f>IF('Raw Data'!A19="",0,IFERROR('Raw Data'!B19,0))</f>
        <v>0</v>
      </c>
    </row>
    <row r="18" spans="1:5">
      <c r="A18" t="str">
        <f>IF('Raw Data'!A20="","",IFERROR('Raw Data'!A20,""))</f>
        <v/>
      </c>
      <c r="B18">
        <f>IF(OR('Raw Data'!A20="",NOT(ISNUMBER('Raw Data'!G20))),0,IFERROR('Raw Data'!F20,0))</f>
        <v>0</v>
      </c>
      <c r="C18">
        <f>IF(OR('Raw Data'!A20="",NOT(ISNUMBER('Raw Data'!G20))),0,IFERROR('Raw Data'!G20,0))</f>
        <v>0</v>
      </c>
      <c r="D18">
        <f>IF('Raw Data'!A20="",0,IFERROR('Raw Data'!C20,0))</f>
        <v>0</v>
      </c>
      <c r="E18">
        <f>IF('Raw Data'!A20="",0,IFERROR('Raw Data'!B20,0))</f>
        <v>0</v>
      </c>
    </row>
    <row r="19" spans="1:5">
      <c r="A19" t="str">
        <f>IF('Raw Data'!A21="","",IFERROR('Raw Data'!A21,""))</f>
        <v/>
      </c>
      <c r="B19">
        <f>IF(OR('Raw Data'!A21="",NOT(ISNUMBER('Raw Data'!G21))),0,IFERROR('Raw Data'!F21,0))</f>
        <v>0</v>
      </c>
      <c r="C19">
        <f>IF(OR('Raw Data'!A21="",NOT(ISNUMBER('Raw Data'!G21))),0,IFERROR('Raw Data'!G21,0))</f>
        <v>0</v>
      </c>
      <c r="D19">
        <f>IF('Raw Data'!A21="",0,IFERROR('Raw Data'!C21,0))</f>
        <v>0</v>
      </c>
      <c r="E19">
        <f>IF('Raw Data'!A21="",0,IFERROR('Raw Data'!B21,0))</f>
        <v>0</v>
      </c>
    </row>
    <row r="20" spans="1:5">
      <c r="A20" t="str">
        <f>IF('Raw Data'!A22="","",IFERROR('Raw Data'!A22,""))</f>
        <v/>
      </c>
      <c r="B20">
        <f>IF(OR('Raw Data'!A22="",NOT(ISNUMBER('Raw Data'!G22))),0,IFERROR('Raw Data'!F22,0))</f>
        <v>0</v>
      </c>
      <c r="C20">
        <f>IF(OR('Raw Data'!A22="",NOT(ISNUMBER('Raw Data'!G22))),0,IFERROR('Raw Data'!G22,0))</f>
        <v>0</v>
      </c>
      <c r="D20">
        <f>IF('Raw Data'!A22="",0,IFERROR('Raw Data'!C22,0))</f>
        <v>0</v>
      </c>
      <c r="E20">
        <f>IF('Raw Data'!A22="",0,IFERROR('Raw Data'!B22,0))</f>
        <v>0</v>
      </c>
    </row>
    <row r="21" spans="1:5">
      <c r="A21" t="str">
        <f>IF('Raw Data'!A23="","",IFERROR('Raw Data'!A23,""))</f>
        <v/>
      </c>
      <c r="B21">
        <f>IF(OR('Raw Data'!A23="",NOT(ISNUMBER('Raw Data'!G23))),0,IFERROR('Raw Data'!F23,0))</f>
        <v>0</v>
      </c>
      <c r="C21">
        <f>IF(OR('Raw Data'!A23="",NOT(ISNUMBER('Raw Data'!G23))),0,IFERROR('Raw Data'!G23,0))</f>
        <v>0</v>
      </c>
      <c r="D21">
        <f>IF('Raw Data'!A23="",0,IFERROR('Raw Data'!C23,0))</f>
        <v>0</v>
      </c>
      <c r="E21">
        <f>IF('Raw Data'!A23="",0,IFERROR('Raw Data'!B23,0))</f>
        <v>0</v>
      </c>
    </row>
    <row r="22" spans="1:5">
      <c r="A22" t="str">
        <f>IF('Raw Data'!A24="","",IFERROR('Raw Data'!A24,""))</f>
        <v/>
      </c>
      <c r="B22">
        <f>IF(OR('Raw Data'!A24="",NOT(ISNUMBER('Raw Data'!G24))),0,IFERROR('Raw Data'!F24,0))</f>
        <v>0</v>
      </c>
      <c r="C22">
        <f>IF(OR('Raw Data'!A24="",NOT(ISNUMBER('Raw Data'!G24))),0,IFERROR('Raw Data'!G24,0))</f>
        <v>0</v>
      </c>
      <c r="D22">
        <f>IF('Raw Data'!A24="",0,IFERROR('Raw Data'!C24,0))</f>
        <v>0</v>
      </c>
      <c r="E22">
        <f>IF('Raw Data'!A24="",0,IFERROR('Raw Data'!B24,0))</f>
        <v>0</v>
      </c>
    </row>
    <row r="23" spans="1:5">
      <c r="A23" t="str">
        <f>IF('Raw Data'!A25="","",IFERROR('Raw Data'!A25,""))</f>
        <v/>
      </c>
      <c r="B23">
        <f>IF(OR('Raw Data'!A25="",NOT(ISNUMBER('Raw Data'!G25))),0,IFERROR('Raw Data'!F25,0))</f>
        <v>0</v>
      </c>
      <c r="C23">
        <f>IF(OR('Raw Data'!A25="",NOT(ISNUMBER('Raw Data'!G25))),0,IFERROR('Raw Data'!G25,0))</f>
        <v>0</v>
      </c>
      <c r="D23">
        <f>IF('Raw Data'!A25="",0,IFERROR('Raw Data'!C25,0))</f>
        <v>0</v>
      </c>
      <c r="E23">
        <f>IF('Raw Data'!A25="",0,IFERROR('Raw Data'!B25,0))</f>
        <v>0</v>
      </c>
    </row>
    <row r="24" spans="1:5">
      <c r="A24" t="str">
        <f>IF('Raw Data'!A26="","",IFERROR('Raw Data'!A26,""))</f>
        <v/>
      </c>
      <c r="B24">
        <f>IF(OR('Raw Data'!A26="",NOT(ISNUMBER('Raw Data'!G26))),0,IFERROR('Raw Data'!F26,0))</f>
        <v>0</v>
      </c>
      <c r="C24">
        <f>IF(OR('Raw Data'!A26="",NOT(ISNUMBER('Raw Data'!G26))),0,IFERROR('Raw Data'!G26,0))</f>
        <v>0</v>
      </c>
      <c r="D24">
        <f>IF('Raw Data'!A26="",0,IFERROR('Raw Data'!C26,0))</f>
        <v>0</v>
      </c>
      <c r="E24">
        <f>IF('Raw Data'!A26="",0,IFERROR('Raw Data'!B26,0))</f>
        <v>0</v>
      </c>
    </row>
    <row r="25" spans="1:5">
      <c r="A25" t="str">
        <f>IF('Raw Data'!A27="","",IFERROR('Raw Data'!A27,""))</f>
        <v/>
      </c>
      <c r="B25">
        <f>IF(OR('Raw Data'!A27="",NOT(ISNUMBER('Raw Data'!G27))),0,IFERROR('Raw Data'!F27,0))</f>
        <v>0</v>
      </c>
      <c r="C25">
        <f>IF(OR('Raw Data'!A27="",NOT(ISNUMBER('Raw Data'!G27))),0,IFERROR('Raw Data'!G27,0))</f>
        <v>0</v>
      </c>
      <c r="D25">
        <f>IF('Raw Data'!A27="",0,IFERROR('Raw Data'!C27,0))</f>
        <v>0</v>
      </c>
      <c r="E25">
        <f>IF('Raw Data'!A27="",0,IFERROR('Raw Data'!B27,0))</f>
        <v>0</v>
      </c>
    </row>
    <row r="26" spans="1:5">
      <c r="A26" t="str">
        <f>IF('Raw Data'!A28="","",IFERROR('Raw Data'!A28,""))</f>
        <v/>
      </c>
      <c r="B26">
        <f>IF(OR('Raw Data'!A28="",NOT(ISNUMBER('Raw Data'!G28))),0,IFERROR('Raw Data'!F28,0))</f>
        <v>0</v>
      </c>
      <c r="C26">
        <f>IF(OR('Raw Data'!A28="",NOT(ISNUMBER('Raw Data'!G28))),0,IFERROR('Raw Data'!G28,0))</f>
        <v>0</v>
      </c>
      <c r="D26">
        <f>IF('Raw Data'!A28="",0,IFERROR('Raw Data'!C28,0))</f>
        <v>0</v>
      </c>
      <c r="E26">
        <f>IF('Raw Data'!A28="",0,IFERROR('Raw Data'!B28,0))</f>
        <v>0</v>
      </c>
    </row>
    <row r="27" spans="1:5">
      <c r="A27" t="str">
        <f>IF('Raw Data'!A29="","",IFERROR('Raw Data'!A29,""))</f>
        <v/>
      </c>
      <c r="B27">
        <f>IF(OR('Raw Data'!A29="",NOT(ISNUMBER('Raw Data'!G29))),0,IFERROR('Raw Data'!F29,0))</f>
        <v>0</v>
      </c>
      <c r="C27">
        <f>IF(OR('Raw Data'!A29="",NOT(ISNUMBER('Raw Data'!G29))),0,IFERROR('Raw Data'!G29,0))</f>
        <v>0</v>
      </c>
      <c r="D27">
        <f>IF('Raw Data'!A29="",0,IFERROR('Raw Data'!C29,0))</f>
        <v>0</v>
      </c>
      <c r="E27">
        <f>IF('Raw Data'!A29="",0,IFERROR('Raw Data'!B29,0))</f>
        <v>0</v>
      </c>
    </row>
    <row r="28" spans="1:5">
      <c r="A28" t="str">
        <f>IF('Raw Data'!A30="","",IFERROR('Raw Data'!A30,""))</f>
        <v/>
      </c>
      <c r="B28">
        <f>IF(OR('Raw Data'!A30="",NOT(ISNUMBER('Raw Data'!G30))),0,IFERROR('Raw Data'!F30,0))</f>
        <v>0</v>
      </c>
      <c r="C28">
        <f>IF(OR('Raw Data'!A30="",NOT(ISNUMBER('Raw Data'!G30))),0,IFERROR('Raw Data'!G30,0))</f>
        <v>0</v>
      </c>
      <c r="D28">
        <f>IF('Raw Data'!A30="",0,IFERROR('Raw Data'!C30,0))</f>
        <v>0</v>
      </c>
      <c r="E28">
        <f>IF('Raw Data'!A30="",0,IFERROR('Raw Data'!B30,0))</f>
        <v>0</v>
      </c>
    </row>
    <row r="29" spans="1:5">
      <c r="A29" t="str">
        <f>IF('Raw Data'!A31="","",IFERROR('Raw Data'!A31,""))</f>
        <v/>
      </c>
      <c r="B29">
        <f>IF(OR('Raw Data'!A31="",NOT(ISNUMBER('Raw Data'!G31))),0,IFERROR('Raw Data'!F31,0))</f>
        <v>0</v>
      </c>
      <c r="C29">
        <f>IF(OR('Raw Data'!A31="",NOT(ISNUMBER('Raw Data'!G31))),0,IFERROR('Raw Data'!G31,0))</f>
        <v>0</v>
      </c>
      <c r="D29">
        <f>IF('Raw Data'!A31="",0,IFERROR('Raw Data'!C31,0))</f>
        <v>0</v>
      </c>
      <c r="E29">
        <f>IF('Raw Data'!A31="",0,IFERROR('Raw Data'!B31,0))</f>
        <v>0</v>
      </c>
    </row>
    <row r="30" spans="1:5">
      <c r="A30" t="str">
        <f>IF('Raw Data'!A32="","",IFERROR('Raw Data'!A32,""))</f>
        <v/>
      </c>
      <c r="B30">
        <f>IF(OR('Raw Data'!A32="",NOT(ISNUMBER('Raw Data'!G32))),0,IFERROR('Raw Data'!F32,0))</f>
        <v>0</v>
      </c>
      <c r="C30">
        <f>IF(OR('Raw Data'!A32="",NOT(ISNUMBER('Raw Data'!G32))),0,IFERROR('Raw Data'!G32,0))</f>
        <v>0</v>
      </c>
      <c r="D30">
        <f>IF('Raw Data'!A32="",0,IFERROR('Raw Data'!C32,0))</f>
        <v>0</v>
      </c>
      <c r="E30">
        <f>IF('Raw Data'!A32="",0,IFERROR('Raw Data'!B32,0))</f>
        <v>0</v>
      </c>
    </row>
    <row r="31" spans="1:5">
      <c r="A31" t="str">
        <f>IF('Raw Data'!A33="","",IFERROR('Raw Data'!A33,""))</f>
        <v/>
      </c>
      <c r="B31">
        <f>IF(OR('Raw Data'!A33="",NOT(ISNUMBER('Raw Data'!G33))),0,IFERROR('Raw Data'!F33,0))</f>
        <v>0</v>
      </c>
      <c r="C31">
        <f>IF(OR('Raw Data'!A33="",NOT(ISNUMBER('Raw Data'!G33))),0,IFERROR('Raw Data'!G33,0))</f>
        <v>0</v>
      </c>
      <c r="D31">
        <f>IF('Raw Data'!A33="",0,IFERROR('Raw Data'!C33,0))</f>
        <v>0</v>
      </c>
      <c r="E31">
        <f>IF('Raw Data'!A33="",0,IFERROR('Raw Data'!B33,0))</f>
        <v>0</v>
      </c>
    </row>
    <row r="32" spans="1:5">
      <c r="A32" t="str">
        <f>IF('Raw Data'!A34="","",IFERROR('Raw Data'!A34,""))</f>
        <v/>
      </c>
      <c r="B32">
        <f>IF(OR('Raw Data'!A34="",NOT(ISNUMBER('Raw Data'!G34))),0,IFERROR('Raw Data'!F34,0))</f>
        <v>0</v>
      </c>
      <c r="C32">
        <f>IF(OR('Raw Data'!A34="",NOT(ISNUMBER('Raw Data'!G34))),0,IFERROR('Raw Data'!G34,0))</f>
        <v>0</v>
      </c>
      <c r="D32">
        <f>IF('Raw Data'!A34="",0,IFERROR('Raw Data'!C34,0))</f>
        <v>0</v>
      </c>
      <c r="E32">
        <f>IF('Raw Data'!A34="",0,IFERROR('Raw Data'!B34,0))</f>
        <v>0</v>
      </c>
    </row>
    <row r="33" spans="1:5">
      <c r="A33" t="str">
        <f>IF('Raw Data'!A35="","",IFERROR('Raw Data'!A35,""))</f>
        <v/>
      </c>
      <c r="B33">
        <f>IF(OR('Raw Data'!A35="",NOT(ISNUMBER('Raw Data'!G35))),0,IFERROR('Raw Data'!F35,0))</f>
        <v>0</v>
      </c>
      <c r="C33">
        <f>IF(OR('Raw Data'!A35="",NOT(ISNUMBER('Raw Data'!G35))),0,IFERROR('Raw Data'!G35,0))</f>
        <v>0</v>
      </c>
      <c r="D33">
        <f>IF('Raw Data'!A35="",0,IFERROR('Raw Data'!C35,0))</f>
        <v>0</v>
      </c>
      <c r="E33">
        <f>IF('Raw Data'!A35="",0,IFERROR('Raw Data'!B35,0))</f>
        <v>0</v>
      </c>
    </row>
    <row r="34" spans="1:5">
      <c r="A34" t="str">
        <f>IF('Raw Data'!A36="","",IFERROR('Raw Data'!A36,""))</f>
        <v/>
      </c>
      <c r="B34">
        <f>IF(OR('Raw Data'!A36="",NOT(ISNUMBER('Raw Data'!G36))),0,IFERROR('Raw Data'!F36,0))</f>
        <v>0</v>
      </c>
      <c r="C34">
        <f>IF(OR('Raw Data'!A36="",NOT(ISNUMBER('Raw Data'!G36))),0,IFERROR('Raw Data'!G36,0))</f>
        <v>0</v>
      </c>
      <c r="D34">
        <f>IF('Raw Data'!A36="",0,IFERROR('Raw Data'!C36,0))</f>
        <v>0</v>
      </c>
      <c r="E34">
        <f>IF('Raw Data'!A36="",0,IFERROR('Raw Data'!B36,0))</f>
        <v>0</v>
      </c>
    </row>
    <row r="35" spans="1:5">
      <c r="A35" t="str">
        <f>IF('Raw Data'!A37="","",IFERROR('Raw Data'!A37,""))</f>
        <v/>
      </c>
      <c r="B35">
        <f>IF(OR('Raw Data'!A37="",NOT(ISNUMBER('Raw Data'!G37))),0,IFERROR('Raw Data'!F37,0))</f>
        <v>0</v>
      </c>
      <c r="C35">
        <f>IF(OR('Raw Data'!A37="",NOT(ISNUMBER('Raw Data'!G37))),0,IFERROR('Raw Data'!G37,0))</f>
        <v>0</v>
      </c>
      <c r="D35">
        <f>IF('Raw Data'!A37="",0,IFERROR('Raw Data'!C37,0))</f>
        <v>0</v>
      </c>
      <c r="E35">
        <f>IF('Raw Data'!A37="",0,IFERROR('Raw Data'!B37,0))</f>
        <v>0</v>
      </c>
    </row>
    <row r="36" spans="1:5">
      <c r="A36" t="str">
        <f>IF('Raw Data'!A38="","",IFERROR('Raw Data'!A38,""))</f>
        <v/>
      </c>
      <c r="B36">
        <f>IF(OR('Raw Data'!A38="",NOT(ISNUMBER('Raw Data'!G38))),0,IFERROR('Raw Data'!F38,0))</f>
        <v>0</v>
      </c>
      <c r="C36">
        <f>IF(OR('Raw Data'!A38="",NOT(ISNUMBER('Raw Data'!G38))),0,IFERROR('Raw Data'!G38,0))</f>
        <v>0</v>
      </c>
      <c r="D36">
        <f>IF('Raw Data'!A38="",0,IFERROR('Raw Data'!C38,0))</f>
        <v>0</v>
      </c>
      <c r="E36">
        <f>IF('Raw Data'!A38="",0,IFERROR('Raw Data'!B38,0))</f>
        <v>0</v>
      </c>
    </row>
    <row r="37" spans="1:5">
      <c r="A37" t="str">
        <f>IF('Raw Data'!A39="","",IFERROR('Raw Data'!A39,""))</f>
        <v/>
      </c>
      <c r="B37">
        <f>IF(OR('Raw Data'!A39="",NOT(ISNUMBER('Raw Data'!G39))),0,IFERROR('Raw Data'!F39,0))</f>
        <v>0</v>
      </c>
      <c r="C37">
        <f>IF(OR('Raw Data'!A39="",NOT(ISNUMBER('Raw Data'!G39))),0,IFERROR('Raw Data'!G39,0))</f>
        <v>0</v>
      </c>
      <c r="D37">
        <f>IF('Raw Data'!A39="",0,IFERROR('Raw Data'!C39,0))</f>
        <v>0</v>
      </c>
      <c r="E37">
        <f>IF('Raw Data'!A39="",0,IFERROR('Raw Data'!B39,0))</f>
        <v>0</v>
      </c>
    </row>
    <row r="38" spans="1:5">
      <c r="A38" t="str">
        <f>IF('Raw Data'!A40="","",IFERROR('Raw Data'!A40,""))</f>
        <v/>
      </c>
      <c r="B38">
        <f>IF(OR('Raw Data'!A40="",NOT(ISNUMBER('Raw Data'!G40))),0,IFERROR('Raw Data'!F40,0))</f>
        <v>0</v>
      </c>
      <c r="C38">
        <f>IF(OR('Raw Data'!A40="",NOT(ISNUMBER('Raw Data'!G40))),0,IFERROR('Raw Data'!G40,0))</f>
        <v>0</v>
      </c>
      <c r="D38">
        <f>IF('Raw Data'!A40="",0,IFERROR('Raw Data'!C40,0))</f>
        <v>0</v>
      </c>
      <c r="E38">
        <f>IF('Raw Data'!A40="",0,IFERROR('Raw Data'!B40,0))</f>
        <v>0</v>
      </c>
    </row>
    <row r="39" spans="1:5">
      <c r="A39" t="str">
        <f>IF('Raw Data'!A41="","",IFERROR('Raw Data'!A41,""))</f>
        <v/>
      </c>
      <c r="B39">
        <f>IF(OR('Raw Data'!A41="",NOT(ISNUMBER('Raw Data'!G41))),0,IFERROR('Raw Data'!F41,0))</f>
        <v>0</v>
      </c>
      <c r="C39">
        <f>IF(OR('Raw Data'!A41="",NOT(ISNUMBER('Raw Data'!G41))),0,IFERROR('Raw Data'!G41,0))</f>
        <v>0</v>
      </c>
      <c r="D39">
        <f>IF('Raw Data'!A41="",0,IFERROR('Raw Data'!C41,0))</f>
        <v>0</v>
      </c>
      <c r="E39">
        <f>IF('Raw Data'!A41="",0,IFERROR('Raw Data'!B41,0))</f>
        <v>0</v>
      </c>
    </row>
    <row r="40" spans="1:5">
      <c r="A40" t="str">
        <f>IF('Raw Data'!A42="","",IFERROR('Raw Data'!A42,""))</f>
        <v/>
      </c>
      <c r="B40">
        <f>IF(OR('Raw Data'!A42="",NOT(ISNUMBER('Raw Data'!G42))),0,IFERROR('Raw Data'!F42,0))</f>
        <v>0</v>
      </c>
      <c r="C40">
        <f>IF(OR('Raw Data'!A42="",NOT(ISNUMBER('Raw Data'!G42))),0,IFERROR('Raw Data'!G42,0))</f>
        <v>0</v>
      </c>
      <c r="D40">
        <f>IF('Raw Data'!A42="",0,IFERROR('Raw Data'!C42,0))</f>
        <v>0</v>
      </c>
      <c r="E40">
        <f>IF('Raw Data'!A42="",0,IFERROR('Raw Data'!B42,0))</f>
        <v>0</v>
      </c>
    </row>
    <row r="41" spans="1:5">
      <c r="A41" t="str">
        <f>IF('Raw Data'!A43="","",IFERROR('Raw Data'!A43,""))</f>
        <v/>
      </c>
      <c r="B41">
        <f>IF(OR('Raw Data'!A43="",NOT(ISNUMBER('Raw Data'!G43))),0,IFERROR('Raw Data'!F43,0))</f>
        <v>0</v>
      </c>
      <c r="C41">
        <f>IF(OR('Raw Data'!A43="",NOT(ISNUMBER('Raw Data'!G43))),0,IFERROR('Raw Data'!G43,0))</f>
        <v>0</v>
      </c>
      <c r="D41">
        <f>IF('Raw Data'!A43="",0,IFERROR('Raw Data'!C43,0))</f>
        <v>0</v>
      </c>
      <c r="E41">
        <f>IF('Raw Data'!A43="",0,IFERROR('Raw Data'!B43,0))</f>
        <v>0</v>
      </c>
    </row>
    <row r="42" spans="1:5">
      <c r="A42" t="str">
        <f>IF('Raw Data'!A44="","",IFERROR('Raw Data'!A44,""))</f>
        <v/>
      </c>
      <c r="B42">
        <f>IF(OR('Raw Data'!A44="",NOT(ISNUMBER('Raw Data'!G44))),0,IFERROR('Raw Data'!F44,0))</f>
        <v>0</v>
      </c>
      <c r="C42">
        <f>IF(OR('Raw Data'!A44="",NOT(ISNUMBER('Raw Data'!G44))),0,IFERROR('Raw Data'!G44,0))</f>
        <v>0</v>
      </c>
      <c r="D42">
        <f>IF('Raw Data'!A44="",0,IFERROR('Raw Data'!C44,0))</f>
        <v>0</v>
      </c>
      <c r="E42">
        <f>IF('Raw Data'!A44="",0,IFERROR('Raw Data'!B44,0))</f>
        <v>0</v>
      </c>
    </row>
    <row r="43" spans="1:5">
      <c r="A43" t="str">
        <f>IF('Raw Data'!A45="","",IFERROR('Raw Data'!A45,""))</f>
        <v/>
      </c>
      <c r="B43">
        <f>IF(OR('Raw Data'!A45="",NOT(ISNUMBER('Raw Data'!G45))),0,IFERROR('Raw Data'!F45,0))</f>
        <v>0</v>
      </c>
      <c r="C43">
        <f>IF(OR('Raw Data'!A45="",NOT(ISNUMBER('Raw Data'!G45))),0,IFERROR('Raw Data'!G45,0))</f>
        <v>0</v>
      </c>
      <c r="D43">
        <f>IF('Raw Data'!A45="",0,IFERROR('Raw Data'!C45,0))</f>
        <v>0</v>
      </c>
      <c r="E43">
        <f>IF('Raw Data'!A45="",0,IFERROR('Raw Data'!B45,0))</f>
        <v>0</v>
      </c>
    </row>
    <row r="44" spans="1:5">
      <c r="A44" t="str">
        <f>IF('Raw Data'!A46="","",IFERROR('Raw Data'!A46,""))</f>
        <v/>
      </c>
      <c r="B44">
        <f>IF(OR('Raw Data'!A46="",NOT(ISNUMBER('Raw Data'!G46))),0,IFERROR('Raw Data'!F46,0))</f>
        <v>0</v>
      </c>
      <c r="C44">
        <f>IF(OR('Raw Data'!A46="",NOT(ISNUMBER('Raw Data'!G46))),0,IFERROR('Raw Data'!G46,0))</f>
        <v>0</v>
      </c>
      <c r="D44">
        <f>IF('Raw Data'!A46="",0,IFERROR('Raw Data'!C46,0))</f>
        <v>0</v>
      </c>
      <c r="E44">
        <f>IF('Raw Data'!A46="",0,IFERROR('Raw Data'!B46,0))</f>
        <v>0</v>
      </c>
    </row>
    <row r="45" spans="1:5">
      <c r="A45" t="str">
        <f>IF('Raw Data'!A47="","",IFERROR('Raw Data'!A47,""))</f>
        <v/>
      </c>
      <c r="B45">
        <f>IF(OR('Raw Data'!A47="",NOT(ISNUMBER('Raw Data'!G47))),0,IFERROR('Raw Data'!F47,0))</f>
        <v>0</v>
      </c>
      <c r="C45">
        <f>IF(OR('Raw Data'!A47="",NOT(ISNUMBER('Raw Data'!G47))),0,IFERROR('Raw Data'!G47,0))</f>
        <v>0</v>
      </c>
      <c r="D45">
        <f>IF('Raw Data'!A47="",0,IFERROR('Raw Data'!C47,0))</f>
        <v>0</v>
      </c>
      <c r="E45">
        <f>IF('Raw Data'!A47="",0,IFERROR('Raw Data'!B47,0))</f>
        <v>0</v>
      </c>
    </row>
    <row r="46" spans="1:5">
      <c r="A46" t="str">
        <f>IF('Raw Data'!A48="","",IFERROR('Raw Data'!A48,""))</f>
        <v/>
      </c>
      <c r="B46">
        <f>IF(OR('Raw Data'!A48="",NOT(ISNUMBER('Raw Data'!G48))),0,IFERROR('Raw Data'!F48,0))</f>
        <v>0</v>
      </c>
      <c r="C46">
        <f>IF(OR('Raw Data'!A48="",NOT(ISNUMBER('Raw Data'!G48))),0,IFERROR('Raw Data'!G48,0))</f>
        <v>0</v>
      </c>
      <c r="D46">
        <f>IF('Raw Data'!A48="",0,IFERROR('Raw Data'!C48,0))</f>
        <v>0</v>
      </c>
      <c r="E46">
        <f>IF('Raw Data'!A48="",0,IFERROR('Raw Data'!B48,0))</f>
        <v>0</v>
      </c>
    </row>
    <row r="47" spans="1:5">
      <c r="A47" t="str">
        <f>IF('Raw Data'!A49="","",IFERROR('Raw Data'!A49,""))</f>
        <v/>
      </c>
      <c r="B47">
        <f>IF(OR('Raw Data'!A49="",NOT(ISNUMBER('Raw Data'!G49))),0,IFERROR('Raw Data'!F49,0))</f>
        <v>0</v>
      </c>
      <c r="C47">
        <f>IF(OR('Raw Data'!A49="",NOT(ISNUMBER('Raw Data'!G49))),0,IFERROR('Raw Data'!G49,0))</f>
        <v>0</v>
      </c>
      <c r="D47">
        <f>IF('Raw Data'!A49="",0,IFERROR('Raw Data'!C49,0))</f>
        <v>0</v>
      </c>
      <c r="E47">
        <f>IF('Raw Data'!A49="",0,IFERROR('Raw Data'!B49,0))</f>
        <v>0</v>
      </c>
    </row>
    <row r="48" spans="1:5">
      <c r="A48" t="str">
        <f>IF('Raw Data'!A50="","",IFERROR('Raw Data'!A50,""))</f>
        <v/>
      </c>
      <c r="B48">
        <f>IF(OR('Raw Data'!A50="",NOT(ISNUMBER('Raw Data'!G50))),0,IFERROR('Raw Data'!F50,0))</f>
        <v>0</v>
      </c>
      <c r="C48">
        <f>IF(OR('Raw Data'!A50="",NOT(ISNUMBER('Raw Data'!G50))),0,IFERROR('Raw Data'!G50,0))</f>
        <v>0</v>
      </c>
      <c r="D48">
        <f>IF('Raw Data'!A50="",0,IFERROR('Raw Data'!C50,0))</f>
        <v>0</v>
      </c>
      <c r="E48">
        <f>IF('Raw Data'!A50="",0,IFERROR('Raw Data'!B50,0))</f>
        <v>0</v>
      </c>
    </row>
    <row r="49" spans="1:5">
      <c r="A49" t="str">
        <f>IF('Raw Data'!A51="","",IFERROR('Raw Data'!A51,""))</f>
        <v/>
      </c>
      <c r="B49">
        <f>IF(OR('Raw Data'!A51="",NOT(ISNUMBER('Raw Data'!G51))),0,IFERROR('Raw Data'!F51,0))</f>
        <v>0</v>
      </c>
      <c r="C49">
        <f>IF(OR('Raw Data'!A51="",NOT(ISNUMBER('Raw Data'!G51))),0,IFERROR('Raw Data'!G51,0))</f>
        <v>0</v>
      </c>
      <c r="D49">
        <f>IF('Raw Data'!A51="",0,IFERROR('Raw Data'!C51,0))</f>
        <v>0</v>
      </c>
      <c r="E49">
        <f>IF('Raw Data'!A51="",0,IFERROR('Raw Data'!B51,0))</f>
        <v>0</v>
      </c>
    </row>
    <row r="50" spans="1:5">
      <c r="A50" t="str">
        <f>IF('Raw Data'!A52="","",IFERROR('Raw Data'!A52,""))</f>
        <v/>
      </c>
      <c r="B50">
        <f>IF(OR('Raw Data'!A52="",NOT(ISNUMBER('Raw Data'!G52))),0,IFERROR('Raw Data'!F52,0))</f>
        <v>0</v>
      </c>
      <c r="C50">
        <f>IF(OR('Raw Data'!A52="",NOT(ISNUMBER('Raw Data'!G52))),0,IFERROR('Raw Data'!G52,0))</f>
        <v>0</v>
      </c>
      <c r="D50">
        <f>IF('Raw Data'!A52="",0,IFERROR('Raw Data'!C52,0))</f>
        <v>0</v>
      </c>
      <c r="E50">
        <f>IF('Raw Data'!A52="",0,IFERROR('Raw Data'!B52,0))</f>
        <v>0</v>
      </c>
    </row>
    <row r="51" spans="1:5">
      <c r="A51" t="str">
        <f>IF('Raw Data'!A53="","",IFERROR('Raw Data'!A53,""))</f>
        <v/>
      </c>
      <c r="B51">
        <f>IF(OR('Raw Data'!A53="",NOT(ISNUMBER('Raw Data'!G53))),0,IFERROR('Raw Data'!F53,0))</f>
        <v>0</v>
      </c>
      <c r="C51">
        <f>IF(OR('Raw Data'!A53="",NOT(ISNUMBER('Raw Data'!G53))),0,IFERROR('Raw Data'!G53,0))</f>
        <v>0</v>
      </c>
      <c r="D51">
        <f>IF('Raw Data'!A53="",0,IFERROR('Raw Data'!C53,0))</f>
        <v>0</v>
      </c>
      <c r="E51">
        <f>IF('Raw Data'!A53="",0,IFERROR('Raw Data'!B53,0))</f>
        <v>0</v>
      </c>
    </row>
    <row r="55" spans="1:5">
      <c r="A55" s="77" t="s">
        <v>6</v>
      </c>
      <c r="B55">
        <f>SUMIFS('Raw Data'!F4:F60,'Raw Data'!A4:A60,"&lt;&gt;",'Raw Data'!G4:G60,"&gt;0")</f>
        <v>8272</v>
      </c>
    </row>
    <row r="56" spans="1:5">
      <c r="A56" s="77" t="s">
        <v>7</v>
      </c>
      <c r="B56">
        <f>SUMIFS('Raw Data'!G4:G60,'Raw Data'!A4:A60,"&lt;&gt;",'Raw Data'!G4:G60,"&gt;0")</f>
        <v>16977</v>
      </c>
    </row>
    <row r="60" spans="1:5">
      <c r="A60" s="77" t="s">
        <v>121</v>
      </c>
      <c r="B60" s="77" t="s">
        <v>6</v>
      </c>
      <c r="C60" s="77" t="s">
        <v>7</v>
      </c>
      <c r="D60" s="77" t="s">
        <v>8</v>
      </c>
    </row>
    <row r="61" spans="1:5">
      <c r="A61" t="s">
        <v>137</v>
      </c>
      <c r="B61">
        <f>SUMIFS('Raw Data'!F4:F60,'Raw Data'!K4:K60,"113",'Raw Data'!G4:G60,"&gt;0")</f>
        <v>740</v>
      </c>
      <c r="C61">
        <f>SUMIFS('Raw Data'!G4:G60,'Raw Data'!K4:K60,"113",'Raw Data'!G4:G60,"&gt;0")</f>
        <v>1769</v>
      </c>
      <c r="D61">
        <f>SUMIFS('Raw Data'!C4:C60,'Raw Data'!K4:K60,"113",'Raw Data'!A4:A60,"&lt;&gt;")</f>
        <v>2589</v>
      </c>
    </row>
    <row r="62" spans="1:5">
      <c r="A62" t="s">
        <v>138</v>
      </c>
      <c r="B62">
        <f>SUMIFS('Raw Data'!F4:F60,'Raw Data'!K4:K60,"114",'Raw Data'!G4:G60,"&gt;0")</f>
        <v>5497</v>
      </c>
      <c r="C62">
        <f>SUMIFS('Raw Data'!G4:G60,'Raw Data'!K4:K60,"114",'Raw Data'!G4:G60,"&gt;0")</f>
        <v>10714</v>
      </c>
      <c r="D62">
        <f>SUMIFS('Raw Data'!C4:C60,'Raw Data'!K4:K60,"114",'Raw Data'!A4:A60,"&lt;&gt;")</f>
        <v>16211</v>
      </c>
    </row>
    <row r="63" spans="1:5">
      <c r="A63" t="s">
        <v>139</v>
      </c>
      <c r="B63">
        <f>SUMIFS('Raw Data'!F4:F60,'Raw Data'!K4:K60,"115",'Raw Data'!G4:G60,"&gt;0")</f>
        <v>2035</v>
      </c>
      <c r="C63">
        <f>SUMIFS('Raw Data'!G4:G60,'Raw Data'!K4:K60,"115",'Raw Data'!G4:G60,"&gt;0")</f>
        <v>4494</v>
      </c>
      <c r="D63">
        <f>SUMIFS('Raw Data'!C4:C60,'Raw Data'!K4:K60,"115",'Raw Data'!A4:A60,"&lt;&gt;")</f>
        <v>6529</v>
      </c>
    </row>
  </sheetData>
  <phoneticPr fontId="7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Dashboard</vt:lpstr>
      <vt:lpstr>Input</vt:lpstr>
      <vt:lpstr>Raw Data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Dennis Kuo</cp:lastModifiedBy>
  <cp:revision>1</cp:revision>
  <dcterms:created xsi:type="dcterms:W3CDTF">2026-05-24T07:23:22Z</dcterms:created>
  <dcterms:modified xsi:type="dcterms:W3CDTF">2026-05-24T07:28:28Z</dcterms:modified>
  <dc:language>en-US</dc:language>
</cp:coreProperties>
</file>